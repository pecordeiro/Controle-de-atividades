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xl/drawings/_rels/drawing1.xml.rels" ContentType="application/vnd.openxmlformats-package.relationships+xml"/>
  <Override PartName="/xl/drawings/drawing1.xml" ContentType="application/vnd.openxmlformats-officedocument.drawing+xml"/>
  <Override PartName="/xl/charts/chart9.xml" ContentType="application/vnd.openxmlformats-officedocument.drawingml.chart+xml"/>
  <Override PartName="/xl/charts/chart13.xml" ContentType="application/vnd.openxmlformats-officedocument.drawingml.chart+xml"/>
  <Override PartName="/xl/charts/chart8.xml" ContentType="application/vnd.openxmlformats-officedocument.drawingml.chart+xml"/>
  <Override PartName="/xl/charts/chart12.xml" ContentType="application/vnd.openxmlformats-officedocument.drawingml.chart+xml"/>
  <Override PartName="/xl/charts/chart7.xml" ContentType="application/vnd.openxmlformats-officedocument.drawingml.chart+xml"/>
  <Override PartName="/xl/charts/chart11.xml" ContentType="application/vnd.openxmlformats-officedocument.drawingml.chart+xml"/>
  <Override PartName="/xl/charts/chart6.xml" ContentType="application/vnd.openxmlformats-officedocument.drawingml.chart+xml"/>
  <Override PartName="/xl/charts/chart10.xml" ContentType="application/vnd.openxmlformats-officedocument.drawingml.chart+xml"/>
  <Override PartName="/xl/charts/chart5.xml" ContentType="application/vnd.openxmlformats-officedocument.drawingml.chart+xml"/>
  <Override PartName="/xl/charts/chart4.xml" ContentType="application/vnd.openxmlformats-officedocument.drawingml.chart+xml"/>
  <Override PartName="/xl/charts/chart3.xml" ContentType="application/vnd.openxmlformats-officedocument.drawingml.chart+xml"/>
  <Override PartName="/xl/charts/chart2.xml" ContentType="application/vnd.openxmlformats-officedocument.drawingml.chart+xml"/>
  <Override PartName="/xl/charts/chart1.xml" ContentType="application/vnd.openxmlformats-officedocument.drawingml.chart+xml"/>
  <Override PartName="/xl/charts/chart26.xml" ContentType="application/vnd.openxmlformats-officedocument.drawingml.chart+xml"/>
  <Override PartName="/xl/charts/chart14.xml" ContentType="application/vnd.openxmlformats-officedocument.drawingml.chart+xml"/>
  <Override PartName="/xl/charts/chart25.xml" ContentType="application/vnd.openxmlformats-officedocument.drawingml.chart+xml"/>
  <Override PartName="/xl/charts/chart24.xml" ContentType="application/vnd.openxmlformats-officedocument.drawingml.chart+xml"/>
  <Override PartName="/xl/charts/chart23.xml" ContentType="application/vnd.openxmlformats-officedocument.drawingml.chart+xml"/>
  <Override PartName="/xl/charts/chart22.xml" ContentType="application/vnd.openxmlformats-officedocument.drawingml.chart+xml"/>
  <Override PartName="/xl/charts/chart21.xml" ContentType="application/vnd.openxmlformats-officedocument.drawingml.chart+xml"/>
  <Override PartName="/xl/charts/chart19.xml" ContentType="application/vnd.openxmlformats-officedocument.drawingml.chart+xml"/>
  <Override PartName="/xl/charts/chart20.xml" ContentType="application/vnd.openxmlformats-officedocument.drawingml.chart+xml"/>
  <Override PartName="/xl/charts/chart18.xml" ContentType="application/vnd.openxmlformats-officedocument.drawingml.chart+xml"/>
  <Override PartName="/xl/charts/chart17.xml" ContentType="application/vnd.openxmlformats-officedocument.drawingml.chart+xml"/>
  <Override PartName="/xl/charts/chart16.xml" ContentType="application/vnd.openxmlformats-officedocument.drawingml.chart+xml"/>
  <Override PartName="/xl/charts/chart15.xml" ContentType="application/vnd.openxmlformats-officedocument.drawingml.chart+xml"/>
  <Override PartName="/xl/tables/table9.xml" ContentType="application/vnd.openxmlformats-officedocument.spreadsheetml.table+xml"/>
  <Override PartName="/xl/tables/table11.xml" ContentType="application/vnd.openxmlformats-officedocument.spreadsheetml.table+xml"/>
  <Override PartName="/xl/tables/table8.xml" ContentType="application/vnd.openxmlformats-officedocument.spreadsheetml.table+xml"/>
  <Override PartName="/xl/tables/table10.xml" ContentType="application/vnd.openxmlformats-officedocument.spreadsheetml.table+xml"/>
  <Override PartName="/xl/tables/table7.xml" ContentType="application/vnd.openxmlformats-officedocument.spreadsheetml.table+xml"/>
  <Override PartName="/xl/tables/table13.xml" ContentType="application/vnd.openxmlformats-officedocument.spreadsheetml.table+xml"/>
  <Override PartName="/xl/tables/table6.xml" ContentType="application/vnd.openxmlformats-officedocument.spreadsheetml.table+xml"/>
  <Override PartName="/xl/tables/table12.xml" ContentType="application/vnd.openxmlformats-officedocument.spreadsheetml.table+xml"/>
  <Override PartName="/xl/tables/table5.xml" ContentType="application/vnd.openxmlformats-officedocument.spreadsheetml.table+xml"/>
  <Override PartName="/xl/tables/table4.xml" ContentType="application/vnd.openxmlformats-officedocument.spreadsheetml.table+xml"/>
  <Override PartName="/xl/tables/table3.xml" ContentType="application/vnd.openxmlformats-officedocument.spreadsheetml.table+xml"/>
  <Override PartName="/xl/tables/table2.xml" ContentType="application/vnd.openxmlformats-officedocument.spreadsheetml.table+xml"/>
  <Override PartName="/xl/tables/table1.xml" ContentType="application/vnd.openxmlformats-officedocument.spreadsheetml.table+xml"/>
  <Override PartName="/xl/tables/table26.xml" ContentType="application/vnd.openxmlformats-officedocument.spreadsheetml.table+xml"/>
  <Override PartName="/xl/tables/table14.xml" ContentType="application/vnd.openxmlformats-officedocument.spreadsheetml.table+xml"/>
  <Override PartName="/xl/tables/table25.xml" ContentType="application/vnd.openxmlformats-officedocument.spreadsheetml.table+xml"/>
  <Override PartName="/xl/tables/table24.xml" ContentType="application/vnd.openxmlformats-officedocument.spreadsheetml.table+xml"/>
  <Override PartName="/xl/tables/table23.xml" ContentType="application/vnd.openxmlformats-officedocument.spreadsheetml.table+xml"/>
  <Override PartName="/xl/tables/table22.xml" ContentType="application/vnd.openxmlformats-officedocument.spreadsheetml.table+xml"/>
  <Override PartName="/xl/tables/table21.xml" ContentType="application/vnd.openxmlformats-officedocument.spreadsheetml.table+xml"/>
  <Override PartName="/xl/tables/table19.xml" ContentType="application/vnd.openxmlformats-officedocument.spreadsheetml.table+xml"/>
  <Override PartName="/xl/tables/table20.xml" ContentType="application/vnd.openxmlformats-officedocument.spreadsheetml.table+xml"/>
  <Override PartName="/xl/tables/table18.xml" ContentType="application/vnd.openxmlformats-officedocument.spreadsheetml.table+xml"/>
  <Override PartName="/xl/tables/table17.xml" ContentType="application/vnd.openxmlformats-officedocument.spreadsheetml.table+xml"/>
  <Override PartName="/xl/tables/table16.xml" ContentType="application/vnd.openxmlformats-officedocument.spreadsheetml.table+xml"/>
  <Override PartName="/xl/tables/table15.xml" ContentType="application/vnd.openxmlformats-officedocument.spreadsheetml.table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Acompanhamento" sheetId="1" state="visible" r:id="rId3"/>
    <sheet name="Equipe" sheetId="2" state="visible" r:id="rId4"/>
    <sheet name="Como funciona" sheetId="3" state="visible" r:id="rId5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<sst xmlns="http://schemas.openxmlformats.org/spreadsheetml/2006/main" count="499" uniqueCount="114">
  <si>
    <t xml:space="preserve">Acompanhamento da Montagem – SoBot</t>
  </si>
  <si>
    <t xml:space="preserve">Preencha só as células amarelas. Fluxo: 1) liste as subatividades e o tempo ideal de cada uma; 2) defina a meta de robôs; 3) informe quantas peças já estão concluídas em cada subatividade. O %, as unidades concluídas e os tempos saem sozinhos.</t>
  </si>
  <si>
    <t xml:space="preserve">Os quadros marcados com 'Valores de EXEMPLO' não são dados reais: substitua pelos seus. A aba 'Como funciona' explica cada conta com os números atuais.</t>
  </si>
  <si>
    <t xml:space="preserve">Meta: quantos robôs vamos montar (previstas)</t>
  </si>
  <si>
    <t xml:space="preserve">Robôs concluídos</t>
  </si>
  <si>
    <t xml:space="preserve">Progresso geral (pelas tarefas)</t>
  </si>
  <si>
    <t xml:space="preserve">Unidades concluídas (soma das etapas)</t>
  </si>
  <si>
    <t xml:space="preserve">Tempo que falta (h)</t>
  </si>
  <si>
    <t xml:space="preserve">Dias úteis restantes (aba Equipe)</t>
  </si>
  <si>
    <t xml:space="preserve">Ir para o resumo final ↓</t>
  </si>
  <si>
    <t xml:space="preserve">3. Montagem do Suporte de Manutenção</t>
  </si>
  <si>
    <t xml:space="preserve">Peso no robô</t>
  </si>
  <si>
    <t xml:space="preserve">Concluído</t>
  </si>
  <si>
    <t xml:space="preserve">Unidades previstas</t>
  </si>
  <si>
    <t xml:space="preserve">Unidades concluídas</t>
  </si>
  <si>
    <t xml:space="preserve">Falta</t>
  </si>
  <si>
    <t xml:space="preserve">Subatividade</t>
  </si>
  <si>
    <t xml:space="preserve">Tempo ideal (min)</t>
  </si>
  <si>
    <t xml:space="preserve">Peso na etapa</t>
  </si>
  <si>
    <t xml:space="preserve">Peças concluídas</t>
  </si>
  <si>
    <t xml:space="preserve">% concluído</t>
  </si>
  <si>
    <t xml:space="preserve">Tempo total (min)</t>
  </si>
  <si>
    <t xml:space="preserve">Tempo que falta (min)</t>
  </si>
  <si>
    <t xml:space="preserve">Alinhamento</t>
  </si>
  <si>
    <t xml:space="preserve">Tarefas</t>
  </si>
  <si>
    <t xml:space="preserve">Instalar pé</t>
  </si>
  <si>
    <t xml:space="preserve">Tarefas 100%</t>
  </si>
  <si>
    <t xml:space="preserve">Montar placa de manutenção</t>
  </si>
  <si>
    <t xml:space="preserve">Instalar placa</t>
  </si>
  <si>
    <t xml:space="preserve">Total da etapa (progresso pelas tarefas)</t>
  </si>
  <si>
    <t xml:space="preserve">Unidades concluídas ÷ previstas (menor nº de peças entre as subatividades)</t>
  </si>
  <si>
    <t xml:space="preserve">4. Alinhamento da estrutura do SoBot</t>
  </si>
  <si>
    <t xml:space="preserve">Posicionar a estrutura (exemplo)</t>
  </si>
  <si>
    <t xml:space="preserve">Conferir esquadro (exemplo)</t>
  </si>
  <si>
    <t xml:space="preserve">Apertar os parafusos (exemplo)</t>
  </si>
  <si>
    <t xml:space="preserve">↑ Valores de EXEMPLO (não são dados reais). Substitua pelos seus.</t>
  </si>
  <si>
    <t xml:space="preserve">5. Pontos de Aterramento</t>
  </si>
  <si>
    <t xml:space="preserve">Montar retifica</t>
  </si>
  <si>
    <t xml:space="preserve">6. Instalação dos Mancais e Eixos</t>
  </si>
  <si>
    <t xml:space="preserve">Fixar os mancais (exemplo)</t>
  </si>
  <si>
    <t xml:space="preserve">Montar os eixos (exemplo)</t>
  </si>
  <si>
    <t xml:space="preserve">7. Instalação dos Motores, Polias e Correias</t>
  </si>
  <si>
    <t xml:space="preserve">8. Instalação da Caixa de Som e Suporte Lateral</t>
  </si>
  <si>
    <t xml:space="preserve">9. Montagem do Rodízio e Perfil</t>
  </si>
  <si>
    <t xml:space="preserve">10. Montagem dos Suportes Ultrassônicos</t>
  </si>
  <si>
    <t xml:space="preserve">11. Montagem Fita LED</t>
  </si>
  <si>
    <t xml:space="preserve">12. Montagem Cooler PCI de Controle</t>
  </si>
  <si>
    <t xml:space="preserve">13. Instalação PCI de Controle</t>
  </si>
  <si>
    <t xml:space="preserve">14. Instalação Cooler e Raspberry</t>
  </si>
  <si>
    <t xml:space="preserve">15. Fixação dos Perfis de Alumínio</t>
  </si>
  <si>
    <t xml:space="preserve">16. Montagem dos Chassis</t>
  </si>
  <si>
    <t xml:space="preserve">17. Fixação da Carenagem Superior</t>
  </si>
  <si>
    <t xml:space="preserve">18. Ligações Elétricas</t>
  </si>
  <si>
    <t xml:space="preserve">19. Montagem dos Itens Elétricos na Carenagem...</t>
  </si>
  <si>
    <t xml:space="preserve">20. Montagem dos Sensores na Carenagem Infer...</t>
  </si>
  <si>
    <t xml:space="preserve">21. Montagem da Carenagem Inferior</t>
  </si>
  <si>
    <t xml:space="preserve">22. Alinhamento do Robô</t>
  </si>
  <si>
    <t xml:space="preserve">23. Fixação das Rodas OFF-Road</t>
  </si>
  <si>
    <t xml:space="preserve">24. Fixação do Conector de Alimentação Externa</t>
  </si>
  <si>
    <t xml:space="preserve">25. Fixação da Tampa Superior</t>
  </si>
  <si>
    <t xml:space="preserve">26. Acessórios Single</t>
  </si>
  <si>
    <t xml:space="preserve">RESUMO FINAL</t>
  </si>
  <si>
    <t xml:space="preserve">Indicadores</t>
  </si>
  <si>
    <t xml:space="preserve">Indicador</t>
  </si>
  <si>
    <t xml:space="preserve">Feito</t>
  </si>
  <si>
    <t xml:space="preserve">Total</t>
  </si>
  <si>
    <t xml:space="preserve">%</t>
  </si>
  <si>
    <t xml:space="preserve">Etapas concluídas</t>
  </si>
  <si>
    <t xml:space="preserve">Tarefas (subatividades) concluídas</t>
  </si>
  <si>
    <t xml:space="preserve">Tempo trabalhado (h) = progresso geral</t>
  </si>
  <si>
    <t xml:space="preserve">Tempo de 1 robô (h)</t>
  </si>
  <si>
    <t xml:space="preserve">Etapas ainda sem tempo definido</t>
  </si>
  <si>
    <t xml:space="preserve">Tabela 1 – Progresso por etapa pelas tarefas (peças concluídas de cada subatividade, sobre as previstas)</t>
  </si>
  <si>
    <t xml:space="preserve">Etapa</t>
  </si>
  <si>
    <t xml:space="preserve">Tempo por robô (min)</t>
  </si>
  <si>
    <t xml:space="preserve">Previstas</t>
  </si>
  <si>
    <t xml:space="preserve">Progresso</t>
  </si>
  <si>
    <t xml:space="preserve">Tempo total (h)</t>
  </si>
  <si>
    <t xml:space="preserve">Tabela 2 – Unidades concluídas por etapa (feitas ÷ previstas, sem contar as parciais)</t>
  </si>
  <si>
    <t xml:space="preserve">Feitas</t>
  </si>
  <si>
    <t xml:space="preserve">Feitas/Previstas</t>
  </si>
  <si>
    <t xml:space="preserve">% concluída</t>
  </si>
  <si>
    <t xml:space="preserve">Status</t>
  </si>
  <si>
    <t xml:space="preserve">Equipe e prazo</t>
  </si>
  <si>
    <t xml:space="preserve">Relação simples: dias úteis = horas de trabalho ÷ (pessoas × horas por dia). Considera que as pessoas trabalham em paralelo.</t>
  </si>
  <si>
    <t xml:space="preserve">Tempo total da meta (h)</t>
  </si>
  <si>
    <t xml:space="preserve">Pessoas montando</t>
  </si>
  <si>
    <t xml:space="preserve">Horas de trabalho por dia (por pessoa)</t>
  </si>
  <si>
    <t xml:space="preserve">Dias úteis restantes</t>
  </si>
  <si>
    <t xml:space="preserve">Dias úteis para a meta inteira</t>
  </si>
  <si>
    <t xml:space="preserve">E se mudar o tamanho da equipe?</t>
  </si>
  <si>
    <t xml:space="preserve">Pessoas</t>
  </si>
  <si>
    <t xml:space="preserve">Horas por dia (equipe)</t>
  </si>
  <si>
    <t xml:space="preserve">Como cada conta funciona</t>
  </si>
  <si>
    <t xml:space="preserve">A coluna 'Exemplo' usa os números que estão agora na primeira etapa da aba Acompanhamento, então muda junto com eles.</t>
  </si>
  <si>
    <t xml:space="preserve">Conta</t>
  </si>
  <si>
    <t xml:space="preserve">Como é calculada</t>
  </si>
  <si>
    <t xml:space="preserve">Exemplo com os números atuais</t>
  </si>
  <si>
    <t xml:space="preserve">Peso da subatividade na etapa</t>
  </si>
  <si>
    <t xml:space="preserve">Tempo ideal da subatividade ÷ soma dos tempos da etapa.</t>
  </si>
  <si>
    <t xml:space="preserve">Peso da etapa no robô</t>
  </si>
  <si>
    <t xml:space="preserve">Tempo da etapa ÷ tempo de 1 robô (soma de todas as etapas).</t>
  </si>
  <si>
    <t xml:space="preserve">% concluído da subatividade</t>
  </si>
  <si>
    <t xml:space="preserve">Peças concluídas ÷ unidades previstas. Você só digita as peças.</t>
  </si>
  <si>
    <t xml:space="preserve">Progresso da etapa pelas tarefas (Tabela 1)</t>
  </si>
  <si>
    <t xml:space="preserve">Soma de (peso × % concluído) das subatividades. Conta as parciais.</t>
  </si>
  <si>
    <t xml:space="preserve">Unidades concluídas da etapa (Tabela 2)</t>
  </si>
  <si>
    <t xml:space="preserve">Menor número de peças concluídas entre as subatividades: uma unidade só está pronta quando passou por todas.</t>
  </si>
  <si>
    <t xml:space="preserve">Tempo total da subatividade</t>
  </si>
  <si>
    <t xml:space="preserve">Tempo ideal × unidades previstas.</t>
  </si>
  <si>
    <t xml:space="preserve">Tempo que falta</t>
  </si>
  <si>
    <t xml:space="preserve">Tempo ideal × (previstas − peças concluídas).</t>
  </si>
  <si>
    <t xml:space="preserve">Menor número de unidades concluídas entre todas as etapas (um robô só está pronto quando passou por todas).</t>
  </si>
  <si>
    <t xml:space="preserve">Tempo que falta ÷ (pessoas × horas por dia).</t>
  </si>
</sst>
</file>

<file path=xl/styles.xml><?xml version="1.0" encoding="utf-8"?>
<styleSheet xmlns="http://schemas.openxmlformats.org/spreadsheetml/2006/main">
  <numFmts count="6">
    <numFmt numFmtId="164" formatCode="General"/>
    <numFmt numFmtId="165" formatCode="0"/>
    <numFmt numFmtId="166" formatCode="0.0%"/>
    <numFmt numFmtId="167" formatCode="0.0"/>
    <numFmt numFmtId="168" formatCode="0%"/>
    <numFmt numFmtId="169" formatCode="0&quot; min&quot;"/>
  </numFmts>
  <fonts count="24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6"/>
      <color rgb="FF1F3864"/>
      <name val="Arial"/>
      <family val="0"/>
      <charset val="1"/>
    </font>
    <font>
      <i val="true"/>
      <sz val="10"/>
      <color rgb="FF595959"/>
      <name val="Arial"/>
      <family val="0"/>
      <charset val="1"/>
    </font>
    <font>
      <i val="true"/>
      <sz val="10"/>
      <color rgb="FFC00000"/>
      <name val="Arial"/>
      <family val="0"/>
      <charset val="1"/>
    </font>
    <font>
      <b val="true"/>
      <sz val="11"/>
      <name val="Arial"/>
      <family val="0"/>
      <charset val="1"/>
    </font>
    <font>
      <b val="true"/>
      <sz val="12"/>
      <color rgb="FF0000FF"/>
      <name val="Arial"/>
      <family val="0"/>
      <charset val="1"/>
    </font>
    <font>
      <b val="true"/>
      <sz val="10"/>
      <name val="Arial"/>
      <family val="0"/>
      <charset val="1"/>
    </font>
    <font>
      <u val="single"/>
      <sz val="10"/>
      <color rgb="FF0563C1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sz val="8"/>
      <color rgb="FF808080"/>
      <name val="Arial"/>
      <family val="0"/>
      <charset val="1"/>
    </font>
    <font>
      <b val="true"/>
      <sz val="10"/>
      <color rgb="FF1F3864"/>
      <name val="Arial"/>
      <family val="0"/>
      <charset val="1"/>
    </font>
    <font>
      <sz val="10"/>
      <color rgb="FF0000FF"/>
      <name val="Arial"/>
      <family val="0"/>
      <charset val="1"/>
    </font>
    <font>
      <sz val="10"/>
      <name val="Arial"/>
      <family val="0"/>
      <charset val="1"/>
    </font>
    <font>
      <i val="true"/>
      <sz val="9"/>
      <color rgb="FFC00000"/>
      <name val="Arial"/>
      <family val="0"/>
      <charset val="1"/>
    </font>
    <font>
      <b val="true"/>
      <sz val="13"/>
      <color rgb="FFFFFFFF"/>
      <name val="Arial"/>
      <family val="0"/>
      <charset val="1"/>
    </font>
    <font>
      <b val="true"/>
      <sz val="11"/>
      <color rgb="FF1F3864"/>
      <name val="Arial"/>
      <family val="0"/>
      <charset val="1"/>
    </font>
    <font>
      <b val="true"/>
      <sz val="18"/>
      <color rgb="FF000000"/>
      <name val="Calibri"/>
      <family val="2"/>
    </font>
    <font>
      <sz val="10"/>
      <color rgb="FF000000"/>
      <name val="Calibri"/>
      <family val="2"/>
    </font>
    <font>
      <b val="true"/>
      <sz val="10"/>
      <color rgb="FF000000"/>
      <name val="Arial"/>
      <family val="0"/>
      <charset val="1"/>
    </font>
    <font>
      <b val="true"/>
      <sz val="10"/>
      <color rgb="FF0000FF"/>
      <name val="Arial"/>
      <family val="0"/>
      <charset val="1"/>
    </font>
    <font>
      <b val="true"/>
      <sz val="10"/>
      <color rgb="FFFFFFFF"/>
      <name val="Arial"/>
      <family val="0"/>
      <charset val="1"/>
    </font>
  </fonts>
  <fills count="6">
    <fill>
      <patternFill patternType="none"/>
    </fill>
    <fill>
      <patternFill patternType="gray125"/>
    </fill>
    <fill>
      <patternFill patternType="solid">
        <fgColor rgb="FFFFF9DB"/>
        <bgColor rgb="FFF2F2F2"/>
      </patternFill>
    </fill>
    <fill>
      <patternFill patternType="solid">
        <fgColor rgb="FF1F3864"/>
        <bgColor rgb="FF333333"/>
      </patternFill>
    </fill>
    <fill>
      <patternFill patternType="solid">
        <fgColor rgb="FFF2F2F2"/>
        <bgColor rgb="FFFFF9DB"/>
      </patternFill>
    </fill>
    <fill>
      <patternFill patternType="solid">
        <fgColor rgb="FFD9E2F3"/>
        <bgColor rgb="FFD9D9D9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8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8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6" fontId="7" fillId="0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7" fontId="7" fillId="0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4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1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1" fillId="3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6" fontId="11" fillId="3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1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1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4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5" fontId="9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3" fillId="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4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14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8" fontId="15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15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1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9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9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7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3" fillId="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5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9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9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9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15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15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9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5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21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22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22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3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" fillId="0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15" fillId="0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9">
    <dxf>
      <fill>
        <patternFill patternType="solid">
          <fgColor rgb="FFD9E2F3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1F3864"/>
          <bgColor rgb="FF000000"/>
        </patternFill>
      </fill>
    </dxf>
    <dxf>
      <fill>
        <patternFill patternType="solid">
          <fgColor rgb="FFC6EFCE"/>
          <bgColor rgb="FF000000"/>
        </patternFill>
      </fill>
    </dxf>
    <dxf>
      <fill>
        <patternFill patternType="solid">
          <fgColor rgb="FFFFEB9C"/>
          <bgColor rgb="FF000000"/>
        </patternFill>
      </fill>
    </dxf>
    <dxf>
      <fill>
        <patternFill patternType="solid">
          <fgColor rgb="FFFFF9DB"/>
          <bgColor rgb="FF000000"/>
        </patternFill>
      </fill>
    </dxf>
    <dxf>
      <fill>
        <patternFill patternType="solid">
          <fgColor rgb="FF0000FF"/>
          <bgColor rgb="FF000000"/>
        </patternFill>
      </fill>
    </dxf>
    <dxf>
      <fill>
        <patternFill>
          <bgColor rgb="FFC6EFCE"/>
        </patternFill>
      </fill>
    </dxf>
    <dxf>
      <fill>
        <patternFill>
          <bgColor rgb="FFFFEB9C"/>
        </patternFill>
      </fill>
    </dxf>
  </dxfs>
  <colors>
    <indexedColors>
      <rgbColor rgb="FF000000"/>
      <rgbColor rgb="FFFFFFFF"/>
      <rgbColor rgb="FFC0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9DB"/>
      <rgbColor rgb="FFF2F2F2"/>
      <rgbColor rgb="FF660066"/>
      <rgbColor rgb="FFFF8080"/>
      <rgbColor rgb="FF0563C1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D9E2F3"/>
      <rgbColor rgb="FFC6EFCE"/>
      <rgbColor rgb="FFFFEB9C"/>
      <rgbColor rgb="FF99CCFF"/>
      <rgbColor rgb="FFFF99CC"/>
      <rgbColor rgb="FFCC99FF"/>
      <rgbColor rgb="FFF4B183"/>
      <rgbColor rgb="FF2E75B6"/>
      <rgbColor rgb="FF33CCCC"/>
      <rgbColor rgb="FF99CC00"/>
      <rgbColor rgb="FFFFCC00"/>
      <rgbColor rgb="FFFF9900"/>
      <rgbColor rgb="FFFF6600"/>
      <rgbColor rgb="FF595959"/>
      <rgbColor rgb="FF878787"/>
      <rgbColor rgb="FF1F3864"/>
      <rgbColor rgb="FF4F81BD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Progresso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doughnutChart>
        <c:varyColors val="1"/>
        <c:ser>
          <c:idx val="0"/>
          <c:order val="0"/>
          <c:spPr>
            <a:solidFill>
              <a:srgbClr val="4f81bd"/>
            </a:solidFill>
            <a:ln w="0">
              <a:noFill/>
            </a:ln>
          </c:spPr>
          <c:explosion val="0"/>
          <c:dPt>
            <c:idx val="0"/>
            <c:spPr>
              <a:solidFill>
                <a:srgbClr val="2e75b6"/>
              </a:solidFill>
              <a:ln w="0">
                <a:noFill/>
              </a:ln>
            </c:spPr>
          </c:dPt>
          <c:dPt>
            <c:idx val="1"/>
            <c:spPr>
              <a:solidFill>
                <a:srgbClr val="d9d9d9"/>
              </a:solidFill>
              <a:ln w="0">
                <a:noFill/>
              </a:ln>
            </c:spPr>
          </c:dPt>
          <c:dLbls>
            <c:numFmt formatCode="0%" sourceLinked="1"/>
            <c:dLbl>
              <c:idx val="0"/>
              <c:numFmt formatCode="0%" sourceLinked="1"/>
              <c:txPr>
                <a:bodyPr wrap="square"/>
                <a:lstStyle/>
                <a:p>
                  <a:pPr>
                    <a:defRPr b="0" sz="1000" spc="-1" strike="noStrike">
                      <a:solidFill>
                        <a:srgbClr val="000000"/>
                      </a:solidFill>
                      <a:latin typeface="Calibri"/>
                    </a:defRPr>
                  </a:pPr>
                </a:p>
              </c:txPr>
              <c:showLegendKey val="0"/>
              <c:showVal val="1"/>
              <c:showCatName val="0"/>
              <c:showSerName val="0"/>
              <c:showPercent val="0"/>
              <c:separator>; </c:separator>
            </c:dLbl>
            <c:dLbl>
              <c:idx val="1"/>
              <c:numFmt formatCode="0%" sourceLinked="1"/>
              <c:txPr>
                <a:bodyPr wrap="square"/>
                <a:lstStyle/>
                <a:p>
                  <a:pPr>
                    <a:defRPr b="0" sz="1000" spc="-1" strike="noStrike">
                      <a:solidFill>
                        <a:srgbClr val="000000"/>
                      </a:solidFill>
                      <a:latin typeface="Calibri"/>
                    </a:defRPr>
                  </a:pPr>
                </a:p>
              </c:txPr>
              <c:showLegendKey val="0"/>
              <c:showVal val="1"/>
              <c:showCatName val="0"/>
              <c:showSerName val="0"/>
              <c:showPercent val="0"/>
              <c:separator>; </c:separator>
            </c:dLbl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Calibri"/>
                  </a:defRPr>
                </a:pPr>
              </a:p>
            </c:txPr>
            <c:showLegendKey val="0"/>
            <c:showVal val="1"/>
            <c:showCatName val="0"/>
            <c:showSerName val="0"/>
            <c:showPercent val="0"/>
            <c:separator>; </c:separator>
            <c:showLeaderLines val="1"/>
          </c:dLbls>
          <c:cat>
            <c:strRef>
              <c:f>Acompanhamento!$O$12:$O$13</c:f>
              <c:strCache>
                <c:ptCount val="2"/>
                <c:pt idx="0">
                  <c:v>Concluído</c:v>
                </c:pt>
                <c:pt idx="1">
                  <c:v>Falta</c:v>
                </c:pt>
              </c:strCache>
            </c:strRef>
          </c:cat>
          <c:val>
            <c:numRef>
              <c:f>Acompanhamento!$P$12:$P$13</c:f>
              <c:numCache>
                <c:formatCode>0%</c:formatCode>
                <c:ptCount val="2"/>
                <c:pt idx="0">
                  <c:v>0.192307692307692</c:v>
                </c:pt>
                <c:pt idx="1">
                  <c:v>0.807692307692308</c:v>
                </c:pt>
              </c:numCache>
            </c:numRef>
          </c:val>
        </c:ser>
        <c:firstSliceAng val="0"/>
        <c:holeSize val="50"/>
      </c:doughnutChart>
      <c:spPr>
        <a:noFill/>
        <a:ln w="0">
          <a:noFill/>
        </a:ln>
      </c:spPr>
    </c:plotArea>
    <c:legend>
      <c:legendPos val="b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Progresso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doughnutChart>
        <c:varyColors val="1"/>
        <c:ser>
          <c:idx val="0"/>
          <c:order val="0"/>
          <c:spPr>
            <a:solidFill>
              <a:srgbClr val="4f81bd"/>
            </a:solidFill>
            <a:ln w="0">
              <a:noFill/>
            </a:ln>
          </c:spPr>
          <c:explosion val="0"/>
          <c:dPt>
            <c:idx val="0"/>
            <c:spPr>
              <a:solidFill>
                <a:srgbClr val="2e75b6"/>
              </a:solidFill>
              <a:ln w="0">
                <a:noFill/>
              </a:ln>
            </c:spPr>
          </c:dPt>
          <c:dPt>
            <c:idx val="1"/>
            <c:spPr>
              <a:solidFill>
                <a:srgbClr val="d9d9d9"/>
              </a:solidFill>
              <a:ln w="0">
                <a:noFill/>
              </a:ln>
            </c:spPr>
          </c:dPt>
          <c:dLbls>
            <c:numFmt formatCode="0%" sourceLinked="1"/>
            <c:dLbl>
              <c:idx val="0"/>
              <c:numFmt formatCode="0%" sourceLinked="1"/>
              <c:txPr>
                <a:bodyPr wrap="square"/>
                <a:lstStyle/>
                <a:p>
                  <a:pPr>
                    <a:defRPr b="0" sz="1000" spc="-1" strike="noStrike">
                      <a:solidFill>
                        <a:srgbClr val="000000"/>
                      </a:solidFill>
                      <a:latin typeface="Calibri"/>
                    </a:defRPr>
                  </a:pPr>
                </a:p>
              </c:txPr>
              <c:showLegendKey val="0"/>
              <c:showVal val="1"/>
              <c:showCatName val="0"/>
              <c:showSerName val="0"/>
              <c:showPercent val="0"/>
              <c:separator>; </c:separator>
            </c:dLbl>
            <c:dLbl>
              <c:idx val="1"/>
              <c:numFmt formatCode="0%" sourceLinked="1"/>
              <c:txPr>
                <a:bodyPr wrap="square"/>
                <a:lstStyle/>
                <a:p>
                  <a:pPr>
                    <a:defRPr b="0" sz="1000" spc="-1" strike="noStrike">
                      <a:solidFill>
                        <a:srgbClr val="000000"/>
                      </a:solidFill>
                      <a:latin typeface="Calibri"/>
                    </a:defRPr>
                  </a:pPr>
                </a:p>
              </c:txPr>
              <c:showLegendKey val="0"/>
              <c:showVal val="1"/>
              <c:showCatName val="0"/>
              <c:showSerName val="0"/>
              <c:showPercent val="0"/>
              <c:separator>; </c:separator>
            </c:dLbl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Calibri"/>
                  </a:defRPr>
                </a:pPr>
              </a:p>
            </c:txPr>
            <c:showLegendKey val="0"/>
            <c:showVal val="1"/>
            <c:showCatName val="0"/>
            <c:showSerName val="0"/>
            <c:showPercent val="0"/>
            <c:separator>; </c:separator>
            <c:showLeaderLines val="1"/>
          </c:dLbls>
          <c:cat>
            <c:strRef>
              <c:f>Acompanhamento!$O$27:$O$28</c:f>
              <c:strCache>
                <c:ptCount val="2"/>
                <c:pt idx="0">
                  <c:v>Concluído</c:v>
                </c:pt>
                <c:pt idx="1">
                  <c:v>Falta</c:v>
                </c:pt>
              </c:strCache>
            </c:strRef>
          </c:cat>
          <c:val>
            <c:numRef>
              <c:f>Acompanhamento!$P$27:$P$28</c:f>
              <c:numCache>
                <c:formatCode>0%</c:formatCode>
                <c:ptCount val="2"/>
                <c:pt idx="0">
                  <c:v>0</c:v>
                </c:pt>
                <c:pt idx="1">
                  <c:v>1</c:v>
                </c:pt>
              </c:numCache>
            </c:numRef>
          </c:val>
        </c:ser>
        <c:firstSliceAng val="0"/>
        <c:holeSize val="50"/>
      </c:doughnutChart>
      <c:spPr>
        <a:noFill/>
        <a:ln w="0">
          <a:noFill/>
        </a:ln>
      </c:spPr>
    </c:plotArea>
    <c:legend>
      <c:legendPos val="b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Progresso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doughnutChart>
        <c:varyColors val="1"/>
        <c:ser>
          <c:idx val="0"/>
          <c:order val="0"/>
          <c:spPr>
            <a:solidFill>
              <a:srgbClr val="4f81bd"/>
            </a:solidFill>
            <a:ln w="0">
              <a:noFill/>
            </a:ln>
          </c:spPr>
          <c:explosion val="0"/>
          <c:dPt>
            <c:idx val="0"/>
            <c:spPr>
              <a:solidFill>
                <a:srgbClr val="2e75b6"/>
              </a:solidFill>
              <a:ln w="0">
                <a:noFill/>
              </a:ln>
            </c:spPr>
          </c:dPt>
          <c:dPt>
            <c:idx val="1"/>
            <c:spPr>
              <a:solidFill>
                <a:srgbClr val="d9d9d9"/>
              </a:solidFill>
              <a:ln w="0">
                <a:noFill/>
              </a:ln>
            </c:spPr>
          </c:dPt>
          <c:dLbls>
            <c:numFmt formatCode="0%" sourceLinked="1"/>
            <c:dLbl>
              <c:idx val="0"/>
              <c:numFmt formatCode="0%" sourceLinked="1"/>
              <c:txPr>
                <a:bodyPr wrap="square"/>
                <a:lstStyle/>
                <a:p>
                  <a:pPr>
                    <a:defRPr b="0" sz="1000" spc="-1" strike="noStrike">
                      <a:solidFill>
                        <a:srgbClr val="000000"/>
                      </a:solidFill>
                      <a:latin typeface="Calibri"/>
                    </a:defRPr>
                  </a:pPr>
                </a:p>
              </c:txPr>
              <c:showLegendKey val="0"/>
              <c:showVal val="1"/>
              <c:showCatName val="0"/>
              <c:showSerName val="0"/>
              <c:showPercent val="0"/>
              <c:separator>; </c:separator>
            </c:dLbl>
            <c:dLbl>
              <c:idx val="1"/>
              <c:numFmt formatCode="0%" sourceLinked="1"/>
              <c:txPr>
                <a:bodyPr wrap="square"/>
                <a:lstStyle/>
                <a:p>
                  <a:pPr>
                    <a:defRPr b="0" sz="1000" spc="-1" strike="noStrike">
                      <a:solidFill>
                        <a:srgbClr val="000000"/>
                      </a:solidFill>
                      <a:latin typeface="Calibri"/>
                    </a:defRPr>
                  </a:pPr>
                </a:p>
              </c:txPr>
              <c:showLegendKey val="0"/>
              <c:showVal val="1"/>
              <c:showCatName val="0"/>
              <c:showSerName val="0"/>
              <c:showPercent val="0"/>
              <c:separator>; </c:separator>
            </c:dLbl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Calibri"/>
                  </a:defRPr>
                </a:pPr>
              </a:p>
            </c:txPr>
            <c:showLegendKey val="0"/>
            <c:showVal val="1"/>
            <c:showCatName val="0"/>
            <c:showSerName val="0"/>
            <c:showPercent val="0"/>
            <c:separator>; </c:separator>
            <c:showLeaderLines val="1"/>
          </c:dLbls>
          <c:cat>
            <c:strRef>
              <c:f>Acompanhamento!$O$42:$O$43</c:f>
              <c:strCache>
                <c:ptCount val="2"/>
                <c:pt idx="0">
                  <c:v>Concluído</c:v>
                </c:pt>
                <c:pt idx="1">
                  <c:v>Falta</c:v>
                </c:pt>
              </c:strCache>
            </c:strRef>
          </c:cat>
          <c:val>
            <c:numRef>
              <c:f>Acompanhamento!$P$42:$P$43</c:f>
              <c:numCache>
                <c:formatCode>0%</c:formatCode>
                <c:ptCount val="2"/>
                <c:pt idx="0">
                  <c:v>1</c:v>
                </c:pt>
                <c:pt idx="1">
                  <c:v>0</c:v>
                </c:pt>
              </c:numCache>
            </c:numRef>
          </c:val>
        </c:ser>
        <c:firstSliceAng val="0"/>
        <c:holeSize val="50"/>
      </c:doughnutChart>
      <c:spPr>
        <a:noFill/>
        <a:ln w="0">
          <a:noFill/>
        </a:ln>
      </c:spPr>
    </c:plotArea>
    <c:legend>
      <c:legendPos val="b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Progresso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doughnutChart>
        <c:varyColors val="1"/>
        <c:ser>
          <c:idx val="0"/>
          <c:order val="0"/>
          <c:spPr>
            <a:solidFill>
              <a:srgbClr val="4f81bd"/>
            </a:solidFill>
            <a:ln w="0">
              <a:noFill/>
            </a:ln>
          </c:spPr>
          <c:explosion val="0"/>
          <c:dPt>
            <c:idx val="0"/>
            <c:spPr>
              <a:solidFill>
                <a:srgbClr val="2e75b6"/>
              </a:solidFill>
              <a:ln w="0">
                <a:noFill/>
              </a:ln>
            </c:spPr>
          </c:dPt>
          <c:dPt>
            <c:idx val="1"/>
            <c:spPr>
              <a:solidFill>
                <a:srgbClr val="d9d9d9"/>
              </a:solidFill>
              <a:ln w="0">
                <a:noFill/>
              </a:ln>
            </c:spPr>
          </c:dPt>
          <c:dLbls>
            <c:numFmt formatCode="0%" sourceLinked="1"/>
            <c:dLbl>
              <c:idx val="0"/>
              <c:numFmt formatCode="0%" sourceLinked="1"/>
              <c:txPr>
                <a:bodyPr wrap="square"/>
                <a:lstStyle/>
                <a:p>
                  <a:pPr>
                    <a:defRPr b="0" sz="1000" spc="-1" strike="noStrike">
                      <a:solidFill>
                        <a:srgbClr val="000000"/>
                      </a:solidFill>
                      <a:latin typeface="Calibri"/>
                    </a:defRPr>
                  </a:pPr>
                </a:p>
              </c:txPr>
              <c:showLegendKey val="0"/>
              <c:showVal val="1"/>
              <c:showCatName val="0"/>
              <c:showSerName val="0"/>
              <c:showPercent val="0"/>
              <c:separator>; </c:separator>
            </c:dLbl>
            <c:dLbl>
              <c:idx val="1"/>
              <c:numFmt formatCode="0%" sourceLinked="1"/>
              <c:txPr>
                <a:bodyPr wrap="square"/>
                <a:lstStyle/>
                <a:p>
                  <a:pPr>
                    <a:defRPr b="0" sz="1000" spc="-1" strike="noStrike">
                      <a:solidFill>
                        <a:srgbClr val="000000"/>
                      </a:solidFill>
                      <a:latin typeface="Calibri"/>
                    </a:defRPr>
                  </a:pPr>
                </a:p>
              </c:txPr>
              <c:showLegendKey val="0"/>
              <c:showVal val="1"/>
              <c:showCatName val="0"/>
              <c:showSerName val="0"/>
              <c:showPercent val="0"/>
              <c:separator>; </c:separator>
            </c:dLbl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Calibri"/>
                  </a:defRPr>
                </a:pPr>
              </a:p>
            </c:txPr>
            <c:showLegendKey val="0"/>
            <c:showVal val="1"/>
            <c:showCatName val="0"/>
            <c:showSerName val="0"/>
            <c:showPercent val="0"/>
            <c:separator>; </c:separator>
            <c:showLeaderLines val="1"/>
          </c:dLbls>
          <c:cat>
            <c:strRef>
              <c:f>Acompanhamento!$O$57:$O$58</c:f>
              <c:strCache>
                <c:ptCount val="2"/>
                <c:pt idx="0">
                  <c:v>Concluído</c:v>
                </c:pt>
                <c:pt idx="1">
                  <c:v>Falta</c:v>
                </c:pt>
              </c:strCache>
            </c:strRef>
          </c:cat>
          <c:val>
            <c:numRef>
              <c:f>Acompanhamento!$P$57:$P$58</c:f>
              <c:numCache>
                <c:formatCode>0%</c:formatCode>
                <c:ptCount val="2"/>
                <c:pt idx="0">
                  <c:v>0.6</c:v>
                </c:pt>
                <c:pt idx="1">
                  <c:v>0.4</c:v>
                </c:pt>
              </c:numCache>
            </c:numRef>
          </c:val>
        </c:ser>
        <c:firstSliceAng val="0"/>
        <c:holeSize val="50"/>
      </c:doughnutChart>
      <c:spPr>
        <a:noFill/>
        <a:ln w="0">
          <a:noFill/>
        </a:ln>
      </c:spPr>
    </c:plotArea>
    <c:legend>
      <c:legendPos val="b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Progresso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doughnutChart>
        <c:varyColors val="1"/>
        <c:ser>
          <c:idx val="0"/>
          <c:order val="0"/>
          <c:spPr>
            <a:solidFill>
              <a:srgbClr val="4f81bd"/>
            </a:solidFill>
            <a:ln w="0">
              <a:noFill/>
            </a:ln>
          </c:spPr>
          <c:explosion val="0"/>
          <c:dPt>
            <c:idx val="0"/>
            <c:spPr>
              <a:solidFill>
                <a:srgbClr val="2e75b6"/>
              </a:solidFill>
              <a:ln w="0">
                <a:noFill/>
              </a:ln>
            </c:spPr>
          </c:dPt>
          <c:dPt>
            <c:idx val="1"/>
            <c:spPr>
              <a:solidFill>
                <a:srgbClr val="d9d9d9"/>
              </a:solidFill>
              <a:ln w="0">
                <a:noFill/>
              </a:ln>
            </c:spPr>
          </c:dPt>
          <c:dLbls>
            <c:numFmt formatCode="0%" sourceLinked="1"/>
            <c:dLbl>
              <c:idx val="0"/>
              <c:numFmt formatCode="0%" sourceLinked="1"/>
              <c:txPr>
                <a:bodyPr wrap="square"/>
                <a:lstStyle/>
                <a:p>
                  <a:pPr>
                    <a:defRPr b="0" sz="1000" spc="-1" strike="noStrike">
                      <a:solidFill>
                        <a:srgbClr val="000000"/>
                      </a:solidFill>
                      <a:latin typeface="Calibri"/>
                    </a:defRPr>
                  </a:pPr>
                </a:p>
              </c:txPr>
              <c:showLegendKey val="0"/>
              <c:showVal val="1"/>
              <c:showCatName val="0"/>
              <c:showSerName val="0"/>
              <c:showPercent val="0"/>
              <c:separator>; </c:separator>
            </c:dLbl>
            <c:dLbl>
              <c:idx val="1"/>
              <c:numFmt formatCode="0%" sourceLinked="1"/>
              <c:txPr>
                <a:bodyPr wrap="square"/>
                <a:lstStyle/>
                <a:p>
                  <a:pPr>
                    <a:defRPr b="0" sz="1000" spc="-1" strike="noStrike">
                      <a:solidFill>
                        <a:srgbClr val="000000"/>
                      </a:solidFill>
                      <a:latin typeface="Calibri"/>
                    </a:defRPr>
                  </a:pPr>
                </a:p>
              </c:txPr>
              <c:showLegendKey val="0"/>
              <c:showVal val="1"/>
              <c:showCatName val="0"/>
              <c:showSerName val="0"/>
              <c:showPercent val="0"/>
              <c:separator>; </c:separator>
            </c:dLbl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Calibri"/>
                  </a:defRPr>
                </a:pPr>
              </a:p>
            </c:txPr>
            <c:showLegendKey val="0"/>
            <c:showVal val="1"/>
            <c:showCatName val="0"/>
            <c:showSerName val="0"/>
            <c:showPercent val="0"/>
            <c:separator>; </c:separator>
            <c:showLeaderLines val="1"/>
          </c:dLbls>
          <c:cat>
            <c:strRef>
              <c:f>Acompanhamento!$O$72:$O$73</c:f>
              <c:strCache>
                <c:ptCount val="2"/>
                <c:pt idx="0">
                  <c:v>Concluído</c:v>
                </c:pt>
                <c:pt idx="1">
                  <c:v>Falta</c:v>
                </c:pt>
              </c:strCache>
            </c:strRef>
          </c:cat>
          <c:val>
            <c:numRef>
              <c:f>Acompanhamento!$P$72:$P$73</c:f>
              <c:numCache>
                <c:formatCode>0%</c:formatCode>
                <c:ptCount val="2"/>
                <c:pt idx="0">
                  <c:v>0</c:v>
                </c:pt>
                <c:pt idx="1">
                  <c:v>1</c:v>
                </c:pt>
              </c:numCache>
            </c:numRef>
          </c:val>
        </c:ser>
        <c:firstSliceAng val="0"/>
        <c:holeSize val="50"/>
      </c:doughnutChart>
      <c:spPr>
        <a:noFill/>
        <a:ln w="0">
          <a:noFill/>
        </a:ln>
      </c:spPr>
    </c:plotArea>
    <c:legend>
      <c:legendPos val="b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Progresso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doughnutChart>
        <c:varyColors val="1"/>
        <c:ser>
          <c:idx val="0"/>
          <c:order val="0"/>
          <c:spPr>
            <a:solidFill>
              <a:srgbClr val="4f81bd"/>
            </a:solidFill>
            <a:ln w="0">
              <a:noFill/>
            </a:ln>
          </c:spPr>
          <c:explosion val="0"/>
          <c:dPt>
            <c:idx val="0"/>
            <c:spPr>
              <a:solidFill>
                <a:srgbClr val="2e75b6"/>
              </a:solidFill>
              <a:ln w="0">
                <a:noFill/>
              </a:ln>
            </c:spPr>
          </c:dPt>
          <c:dPt>
            <c:idx val="1"/>
            <c:spPr>
              <a:solidFill>
                <a:srgbClr val="d9d9d9"/>
              </a:solidFill>
              <a:ln w="0">
                <a:noFill/>
              </a:ln>
            </c:spPr>
          </c:dPt>
          <c:dLbls>
            <c:numFmt formatCode="0%" sourceLinked="1"/>
            <c:dLbl>
              <c:idx val="0"/>
              <c:numFmt formatCode="0%" sourceLinked="1"/>
              <c:txPr>
                <a:bodyPr wrap="square"/>
                <a:lstStyle/>
                <a:p>
                  <a:pPr>
                    <a:defRPr b="0" sz="1000" spc="-1" strike="noStrike">
                      <a:solidFill>
                        <a:srgbClr val="000000"/>
                      </a:solidFill>
                      <a:latin typeface="Calibri"/>
                    </a:defRPr>
                  </a:pPr>
                </a:p>
              </c:txPr>
              <c:showLegendKey val="0"/>
              <c:showVal val="1"/>
              <c:showCatName val="0"/>
              <c:showSerName val="0"/>
              <c:showPercent val="0"/>
              <c:separator>; </c:separator>
            </c:dLbl>
            <c:dLbl>
              <c:idx val="1"/>
              <c:numFmt formatCode="0%" sourceLinked="1"/>
              <c:txPr>
                <a:bodyPr wrap="square"/>
                <a:lstStyle/>
                <a:p>
                  <a:pPr>
                    <a:defRPr b="0" sz="1000" spc="-1" strike="noStrike">
                      <a:solidFill>
                        <a:srgbClr val="000000"/>
                      </a:solidFill>
                      <a:latin typeface="Calibri"/>
                    </a:defRPr>
                  </a:pPr>
                </a:p>
              </c:txPr>
              <c:showLegendKey val="0"/>
              <c:showVal val="1"/>
              <c:showCatName val="0"/>
              <c:showSerName val="0"/>
              <c:showPercent val="0"/>
              <c:separator>; </c:separator>
            </c:dLbl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Calibri"/>
                  </a:defRPr>
                </a:pPr>
              </a:p>
            </c:txPr>
            <c:showLegendKey val="0"/>
            <c:showVal val="1"/>
            <c:showCatName val="0"/>
            <c:showSerName val="0"/>
            <c:showPercent val="0"/>
            <c:separator>; </c:separator>
            <c:showLeaderLines val="1"/>
          </c:dLbls>
          <c:cat>
            <c:strRef>
              <c:f>Acompanhamento!$O$87:$O$88</c:f>
              <c:strCache>
                <c:ptCount val="2"/>
                <c:pt idx="0">
                  <c:v>Concluído</c:v>
                </c:pt>
                <c:pt idx="1">
                  <c:v>Falta</c:v>
                </c:pt>
              </c:strCache>
            </c:strRef>
          </c:cat>
          <c:val>
            <c:numRef>
              <c:f>Acompanhamento!$P$87:$P$88</c:f>
              <c:numCache>
                <c:formatCode>0%</c:formatCode>
                <c:ptCount val="2"/>
                <c:pt idx="0">
                  <c:v>0</c:v>
                </c:pt>
                <c:pt idx="1">
                  <c:v>1</c:v>
                </c:pt>
              </c:numCache>
            </c:numRef>
          </c:val>
        </c:ser>
        <c:firstSliceAng val="0"/>
        <c:holeSize val="50"/>
      </c:doughnutChart>
      <c:spPr>
        <a:noFill/>
        <a:ln w="0">
          <a:noFill/>
        </a:ln>
      </c:spPr>
    </c:plotArea>
    <c:legend>
      <c:legendPos val="b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Progresso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doughnutChart>
        <c:varyColors val="1"/>
        <c:ser>
          <c:idx val="0"/>
          <c:order val="0"/>
          <c:spPr>
            <a:solidFill>
              <a:srgbClr val="4f81bd"/>
            </a:solidFill>
            <a:ln w="0">
              <a:noFill/>
            </a:ln>
          </c:spPr>
          <c:explosion val="0"/>
          <c:dPt>
            <c:idx val="0"/>
            <c:spPr>
              <a:solidFill>
                <a:srgbClr val="2e75b6"/>
              </a:solidFill>
              <a:ln w="0">
                <a:noFill/>
              </a:ln>
            </c:spPr>
          </c:dPt>
          <c:dPt>
            <c:idx val="1"/>
            <c:spPr>
              <a:solidFill>
                <a:srgbClr val="d9d9d9"/>
              </a:solidFill>
              <a:ln w="0">
                <a:noFill/>
              </a:ln>
            </c:spPr>
          </c:dPt>
          <c:dLbls>
            <c:numFmt formatCode="0%" sourceLinked="1"/>
            <c:dLbl>
              <c:idx val="0"/>
              <c:numFmt formatCode="0%" sourceLinked="1"/>
              <c:txPr>
                <a:bodyPr wrap="square"/>
                <a:lstStyle/>
                <a:p>
                  <a:pPr>
                    <a:defRPr b="0" sz="1000" spc="-1" strike="noStrike">
                      <a:solidFill>
                        <a:srgbClr val="000000"/>
                      </a:solidFill>
                      <a:latin typeface="Calibri"/>
                    </a:defRPr>
                  </a:pPr>
                </a:p>
              </c:txPr>
              <c:showLegendKey val="0"/>
              <c:showVal val="1"/>
              <c:showCatName val="0"/>
              <c:showSerName val="0"/>
              <c:showPercent val="0"/>
              <c:separator>; </c:separator>
            </c:dLbl>
            <c:dLbl>
              <c:idx val="1"/>
              <c:numFmt formatCode="0%" sourceLinked="1"/>
              <c:txPr>
                <a:bodyPr wrap="square"/>
                <a:lstStyle/>
                <a:p>
                  <a:pPr>
                    <a:defRPr b="0" sz="1000" spc="-1" strike="noStrike">
                      <a:solidFill>
                        <a:srgbClr val="000000"/>
                      </a:solidFill>
                      <a:latin typeface="Calibri"/>
                    </a:defRPr>
                  </a:pPr>
                </a:p>
              </c:txPr>
              <c:showLegendKey val="0"/>
              <c:showVal val="1"/>
              <c:showCatName val="0"/>
              <c:showSerName val="0"/>
              <c:showPercent val="0"/>
              <c:separator>; </c:separator>
            </c:dLbl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Calibri"/>
                  </a:defRPr>
                </a:pPr>
              </a:p>
            </c:txPr>
            <c:showLegendKey val="0"/>
            <c:showVal val="1"/>
            <c:showCatName val="0"/>
            <c:showSerName val="0"/>
            <c:showPercent val="0"/>
            <c:separator>; </c:separator>
            <c:showLeaderLines val="1"/>
          </c:dLbls>
          <c:cat>
            <c:strRef>
              <c:f>Acompanhamento!$O$102:$O$103</c:f>
              <c:strCache>
                <c:ptCount val="2"/>
                <c:pt idx="0">
                  <c:v>Concluído</c:v>
                </c:pt>
                <c:pt idx="1">
                  <c:v>Falta</c:v>
                </c:pt>
              </c:strCache>
            </c:strRef>
          </c:cat>
          <c:val>
            <c:numRef>
              <c:f>Acompanhamento!$P$102:$P$103</c:f>
              <c:numCache>
                <c:formatCode>0%</c:formatCode>
                <c:ptCount val="2"/>
                <c:pt idx="0">
                  <c:v>0</c:v>
                </c:pt>
                <c:pt idx="1">
                  <c:v>1</c:v>
                </c:pt>
              </c:numCache>
            </c:numRef>
          </c:val>
        </c:ser>
        <c:firstSliceAng val="0"/>
        <c:holeSize val="50"/>
      </c:doughnutChart>
      <c:spPr>
        <a:noFill/>
        <a:ln w="0">
          <a:noFill/>
        </a:ln>
      </c:spPr>
    </c:plotArea>
    <c:legend>
      <c:legendPos val="b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Progresso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doughnutChart>
        <c:varyColors val="1"/>
        <c:ser>
          <c:idx val="0"/>
          <c:order val="0"/>
          <c:spPr>
            <a:solidFill>
              <a:srgbClr val="4f81bd"/>
            </a:solidFill>
            <a:ln w="0">
              <a:noFill/>
            </a:ln>
          </c:spPr>
          <c:explosion val="0"/>
          <c:dPt>
            <c:idx val="0"/>
            <c:spPr>
              <a:solidFill>
                <a:srgbClr val="2e75b6"/>
              </a:solidFill>
              <a:ln w="0">
                <a:noFill/>
              </a:ln>
            </c:spPr>
          </c:dPt>
          <c:dPt>
            <c:idx val="1"/>
            <c:spPr>
              <a:solidFill>
                <a:srgbClr val="d9d9d9"/>
              </a:solidFill>
              <a:ln w="0">
                <a:noFill/>
              </a:ln>
            </c:spPr>
          </c:dPt>
          <c:dLbls>
            <c:numFmt formatCode="0%" sourceLinked="1"/>
            <c:dLbl>
              <c:idx val="0"/>
              <c:numFmt formatCode="0%" sourceLinked="1"/>
              <c:txPr>
                <a:bodyPr wrap="square"/>
                <a:lstStyle/>
                <a:p>
                  <a:pPr>
                    <a:defRPr b="0" sz="1000" spc="-1" strike="noStrike">
                      <a:solidFill>
                        <a:srgbClr val="000000"/>
                      </a:solidFill>
                      <a:latin typeface="Calibri"/>
                    </a:defRPr>
                  </a:pPr>
                </a:p>
              </c:txPr>
              <c:showLegendKey val="0"/>
              <c:showVal val="1"/>
              <c:showCatName val="0"/>
              <c:showSerName val="0"/>
              <c:showPercent val="0"/>
              <c:separator>; </c:separator>
            </c:dLbl>
            <c:dLbl>
              <c:idx val="1"/>
              <c:numFmt formatCode="0%" sourceLinked="1"/>
              <c:txPr>
                <a:bodyPr wrap="square"/>
                <a:lstStyle/>
                <a:p>
                  <a:pPr>
                    <a:defRPr b="0" sz="1000" spc="-1" strike="noStrike">
                      <a:solidFill>
                        <a:srgbClr val="000000"/>
                      </a:solidFill>
                      <a:latin typeface="Calibri"/>
                    </a:defRPr>
                  </a:pPr>
                </a:p>
              </c:txPr>
              <c:showLegendKey val="0"/>
              <c:showVal val="1"/>
              <c:showCatName val="0"/>
              <c:showSerName val="0"/>
              <c:showPercent val="0"/>
              <c:separator>; </c:separator>
            </c:dLbl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Calibri"/>
                  </a:defRPr>
                </a:pPr>
              </a:p>
            </c:txPr>
            <c:showLegendKey val="0"/>
            <c:showVal val="1"/>
            <c:showCatName val="0"/>
            <c:showSerName val="0"/>
            <c:showPercent val="0"/>
            <c:separator>; </c:separator>
            <c:showLeaderLines val="1"/>
          </c:dLbls>
          <c:cat>
            <c:strRef>
              <c:f>Acompanhamento!$O$117:$O$118</c:f>
              <c:strCache>
                <c:ptCount val="2"/>
                <c:pt idx="0">
                  <c:v>Concluído</c:v>
                </c:pt>
                <c:pt idx="1">
                  <c:v>Falta</c:v>
                </c:pt>
              </c:strCache>
            </c:strRef>
          </c:cat>
          <c:val>
            <c:numRef>
              <c:f>Acompanhamento!$P$117:$P$118</c:f>
              <c:numCache>
                <c:formatCode>0%</c:formatCode>
                <c:ptCount val="2"/>
                <c:pt idx="0">
                  <c:v>0</c:v>
                </c:pt>
                <c:pt idx="1">
                  <c:v>1</c:v>
                </c:pt>
              </c:numCache>
            </c:numRef>
          </c:val>
        </c:ser>
        <c:firstSliceAng val="0"/>
        <c:holeSize val="50"/>
      </c:doughnutChart>
      <c:spPr>
        <a:noFill/>
        <a:ln w="0">
          <a:noFill/>
        </a:ln>
      </c:spPr>
    </c:plotArea>
    <c:legend>
      <c:legendPos val="b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Progresso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doughnutChart>
        <c:varyColors val="1"/>
        <c:ser>
          <c:idx val="0"/>
          <c:order val="0"/>
          <c:spPr>
            <a:solidFill>
              <a:srgbClr val="4f81bd"/>
            </a:solidFill>
            <a:ln w="0">
              <a:noFill/>
            </a:ln>
          </c:spPr>
          <c:explosion val="0"/>
          <c:dPt>
            <c:idx val="0"/>
            <c:spPr>
              <a:solidFill>
                <a:srgbClr val="2e75b6"/>
              </a:solidFill>
              <a:ln w="0">
                <a:noFill/>
              </a:ln>
            </c:spPr>
          </c:dPt>
          <c:dPt>
            <c:idx val="1"/>
            <c:spPr>
              <a:solidFill>
                <a:srgbClr val="d9d9d9"/>
              </a:solidFill>
              <a:ln w="0">
                <a:noFill/>
              </a:ln>
            </c:spPr>
          </c:dPt>
          <c:dLbls>
            <c:numFmt formatCode="0%" sourceLinked="1"/>
            <c:dLbl>
              <c:idx val="0"/>
              <c:numFmt formatCode="0%" sourceLinked="1"/>
              <c:txPr>
                <a:bodyPr wrap="square"/>
                <a:lstStyle/>
                <a:p>
                  <a:pPr>
                    <a:defRPr b="0" sz="1000" spc="-1" strike="noStrike">
                      <a:solidFill>
                        <a:srgbClr val="000000"/>
                      </a:solidFill>
                      <a:latin typeface="Calibri"/>
                    </a:defRPr>
                  </a:pPr>
                </a:p>
              </c:txPr>
              <c:showLegendKey val="0"/>
              <c:showVal val="1"/>
              <c:showCatName val="0"/>
              <c:showSerName val="0"/>
              <c:showPercent val="0"/>
              <c:separator>; </c:separator>
            </c:dLbl>
            <c:dLbl>
              <c:idx val="1"/>
              <c:numFmt formatCode="0%" sourceLinked="1"/>
              <c:txPr>
                <a:bodyPr wrap="square"/>
                <a:lstStyle/>
                <a:p>
                  <a:pPr>
                    <a:defRPr b="0" sz="1000" spc="-1" strike="noStrike">
                      <a:solidFill>
                        <a:srgbClr val="000000"/>
                      </a:solidFill>
                      <a:latin typeface="Calibri"/>
                    </a:defRPr>
                  </a:pPr>
                </a:p>
              </c:txPr>
              <c:showLegendKey val="0"/>
              <c:showVal val="1"/>
              <c:showCatName val="0"/>
              <c:showSerName val="0"/>
              <c:showPercent val="0"/>
              <c:separator>; </c:separator>
            </c:dLbl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Calibri"/>
                  </a:defRPr>
                </a:pPr>
              </a:p>
            </c:txPr>
            <c:showLegendKey val="0"/>
            <c:showVal val="1"/>
            <c:showCatName val="0"/>
            <c:showSerName val="0"/>
            <c:showPercent val="0"/>
            <c:separator>; </c:separator>
            <c:showLeaderLines val="1"/>
          </c:dLbls>
          <c:cat>
            <c:strRef>
              <c:f>Acompanhamento!$O$132:$O$133</c:f>
              <c:strCache>
                <c:ptCount val="2"/>
                <c:pt idx="0">
                  <c:v>Concluído</c:v>
                </c:pt>
                <c:pt idx="1">
                  <c:v>Falta</c:v>
                </c:pt>
              </c:strCache>
            </c:strRef>
          </c:cat>
          <c:val>
            <c:numRef>
              <c:f>Acompanhamento!$P$132:$P$133</c:f>
              <c:numCache>
                <c:formatCode>0%</c:formatCode>
                <c:ptCount val="2"/>
                <c:pt idx="0">
                  <c:v>0</c:v>
                </c:pt>
                <c:pt idx="1">
                  <c:v>1</c:v>
                </c:pt>
              </c:numCache>
            </c:numRef>
          </c:val>
        </c:ser>
        <c:firstSliceAng val="0"/>
        <c:holeSize val="50"/>
      </c:doughnutChart>
      <c:spPr>
        <a:noFill/>
        <a:ln w="0">
          <a:noFill/>
        </a:ln>
      </c:spPr>
    </c:plotArea>
    <c:legend>
      <c:legendPos val="b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Progresso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doughnutChart>
        <c:varyColors val="1"/>
        <c:ser>
          <c:idx val="0"/>
          <c:order val="0"/>
          <c:spPr>
            <a:solidFill>
              <a:srgbClr val="4f81bd"/>
            </a:solidFill>
            <a:ln w="0">
              <a:noFill/>
            </a:ln>
          </c:spPr>
          <c:explosion val="0"/>
          <c:dPt>
            <c:idx val="0"/>
            <c:spPr>
              <a:solidFill>
                <a:srgbClr val="2e75b6"/>
              </a:solidFill>
              <a:ln w="0">
                <a:noFill/>
              </a:ln>
            </c:spPr>
          </c:dPt>
          <c:dPt>
            <c:idx val="1"/>
            <c:spPr>
              <a:solidFill>
                <a:srgbClr val="d9d9d9"/>
              </a:solidFill>
              <a:ln w="0">
                <a:noFill/>
              </a:ln>
            </c:spPr>
          </c:dPt>
          <c:dLbls>
            <c:numFmt formatCode="0%" sourceLinked="1"/>
            <c:dLbl>
              <c:idx val="0"/>
              <c:numFmt formatCode="0%" sourceLinked="1"/>
              <c:txPr>
                <a:bodyPr wrap="square"/>
                <a:lstStyle/>
                <a:p>
                  <a:pPr>
                    <a:defRPr b="0" sz="1000" spc="-1" strike="noStrike">
                      <a:solidFill>
                        <a:srgbClr val="000000"/>
                      </a:solidFill>
                      <a:latin typeface="Calibri"/>
                    </a:defRPr>
                  </a:pPr>
                </a:p>
              </c:txPr>
              <c:showLegendKey val="0"/>
              <c:showVal val="1"/>
              <c:showCatName val="0"/>
              <c:showSerName val="0"/>
              <c:showPercent val="0"/>
              <c:separator>; </c:separator>
            </c:dLbl>
            <c:dLbl>
              <c:idx val="1"/>
              <c:numFmt formatCode="0%" sourceLinked="1"/>
              <c:txPr>
                <a:bodyPr wrap="square"/>
                <a:lstStyle/>
                <a:p>
                  <a:pPr>
                    <a:defRPr b="0" sz="1000" spc="-1" strike="noStrike">
                      <a:solidFill>
                        <a:srgbClr val="000000"/>
                      </a:solidFill>
                      <a:latin typeface="Calibri"/>
                    </a:defRPr>
                  </a:pPr>
                </a:p>
              </c:txPr>
              <c:showLegendKey val="0"/>
              <c:showVal val="1"/>
              <c:showCatName val="0"/>
              <c:showSerName val="0"/>
              <c:showPercent val="0"/>
              <c:separator>; </c:separator>
            </c:dLbl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Calibri"/>
                  </a:defRPr>
                </a:pPr>
              </a:p>
            </c:txPr>
            <c:showLegendKey val="0"/>
            <c:showVal val="1"/>
            <c:showCatName val="0"/>
            <c:showSerName val="0"/>
            <c:showPercent val="0"/>
            <c:separator>; </c:separator>
            <c:showLeaderLines val="1"/>
          </c:dLbls>
          <c:cat>
            <c:strRef>
              <c:f>Acompanhamento!$O$147:$O$148</c:f>
              <c:strCache>
                <c:ptCount val="2"/>
                <c:pt idx="0">
                  <c:v>Concluído</c:v>
                </c:pt>
                <c:pt idx="1">
                  <c:v>Falta</c:v>
                </c:pt>
              </c:strCache>
            </c:strRef>
          </c:cat>
          <c:val>
            <c:numRef>
              <c:f>Acompanhamento!$P$147:$P$148</c:f>
              <c:numCache>
                <c:formatCode>0%</c:formatCode>
                <c:ptCount val="2"/>
                <c:pt idx="0">
                  <c:v>0</c:v>
                </c:pt>
                <c:pt idx="1">
                  <c:v>1</c:v>
                </c:pt>
              </c:numCache>
            </c:numRef>
          </c:val>
        </c:ser>
        <c:firstSliceAng val="0"/>
        <c:holeSize val="50"/>
      </c:doughnutChart>
      <c:spPr>
        <a:noFill/>
        <a:ln w="0">
          <a:noFill/>
        </a:ln>
      </c:spPr>
    </c:plotArea>
    <c:legend>
      <c:legendPos val="b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Progresso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doughnutChart>
        <c:varyColors val="1"/>
        <c:ser>
          <c:idx val="0"/>
          <c:order val="0"/>
          <c:spPr>
            <a:solidFill>
              <a:srgbClr val="4f81bd"/>
            </a:solidFill>
            <a:ln w="0">
              <a:noFill/>
            </a:ln>
          </c:spPr>
          <c:explosion val="0"/>
          <c:dPt>
            <c:idx val="0"/>
            <c:spPr>
              <a:solidFill>
                <a:srgbClr val="2e75b6"/>
              </a:solidFill>
              <a:ln w="0">
                <a:noFill/>
              </a:ln>
            </c:spPr>
          </c:dPt>
          <c:dPt>
            <c:idx val="1"/>
            <c:spPr>
              <a:solidFill>
                <a:srgbClr val="d9d9d9"/>
              </a:solidFill>
              <a:ln w="0">
                <a:noFill/>
              </a:ln>
            </c:spPr>
          </c:dPt>
          <c:dLbls>
            <c:numFmt formatCode="0%" sourceLinked="1"/>
            <c:dLbl>
              <c:idx val="0"/>
              <c:numFmt formatCode="0%" sourceLinked="1"/>
              <c:txPr>
                <a:bodyPr wrap="square"/>
                <a:lstStyle/>
                <a:p>
                  <a:pPr>
                    <a:defRPr b="0" sz="1000" spc="-1" strike="noStrike">
                      <a:solidFill>
                        <a:srgbClr val="000000"/>
                      </a:solidFill>
                      <a:latin typeface="Calibri"/>
                    </a:defRPr>
                  </a:pPr>
                </a:p>
              </c:txPr>
              <c:showLegendKey val="0"/>
              <c:showVal val="1"/>
              <c:showCatName val="0"/>
              <c:showSerName val="0"/>
              <c:showPercent val="0"/>
              <c:separator>; </c:separator>
            </c:dLbl>
            <c:dLbl>
              <c:idx val="1"/>
              <c:numFmt formatCode="0%" sourceLinked="1"/>
              <c:txPr>
                <a:bodyPr wrap="square"/>
                <a:lstStyle/>
                <a:p>
                  <a:pPr>
                    <a:defRPr b="0" sz="1000" spc="-1" strike="noStrike">
                      <a:solidFill>
                        <a:srgbClr val="000000"/>
                      </a:solidFill>
                      <a:latin typeface="Calibri"/>
                    </a:defRPr>
                  </a:pPr>
                </a:p>
              </c:txPr>
              <c:showLegendKey val="0"/>
              <c:showVal val="1"/>
              <c:showCatName val="0"/>
              <c:showSerName val="0"/>
              <c:showPercent val="0"/>
              <c:separator>; </c:separator>
            </c:dLbl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Calibri"/>
                  </a:defRPr>
                </a:pPr>
              </a:p>
            </c:txPr>
            <c:showLegendKey val="0"/>
            <c:showVal val="1"/>
            <c:showCatName val="0"/>
            <c:showSerName val="0"/>
            <c:showPercent val="0"/>
            <c:separator>; </c:separator>
            <c:showLeaderLines val="1"/>
          </c:dLbls>
          <c:cat>
            <c:strRef>
              <c:f>Acompanhamento!$O$162:$O$163</c:f>
              <c:strCache>
                <c:ptCount val="2"/>
                <c:pt idx="0">
                  <c:v>Concluído</c:v>
                </c:pt>
                <c:pt idx="1">
                  <c:v>Falta</c:v>
                </c:pt>
              </c:strCache>
            </c:strRef>
          </c:cat>
          <c:val>
            <c:numRef>
              <c:f>Acompanhamento!$P$162:$P$163</c:f>
              <c:numCache>
                <c:formatCode>0%</c:formatCode>
                <c:ptCount val="2"/>
                <c:pt idx="0">
                  <c:v>0</c:v>
                </c:pt>
                <c:pt idx="1">
                  <c:v>1</c:v>
                </c:pt>
              </c:numCache>
            </c:numRef>
          </c:val>
        </c:ser>
        <c:firstSliceAng val="0"/>
        <c:holeSize val="50"/>
      </c:doughnutChart>
      <c:spPr>
        <a:noFill/>
        <a:ln w="0">
          <a:noFill/>
        </a:ln>
      </c:spPr>
    </c:plotArea>
    <c:legend>
      <c:legendPos val="b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Progresso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doughnutChart>
        <c:varyColors val="1"/>
        <c:ser>
          <c:idx val="0"/>
          <c:order val="0"/>
          <c:spPr>
            <a:solidFill>
              <a:srgbClr val="4f81bd"/>
            </a:solidFill>
            <a:ln w="0">
              <a:noFill/>
            </a:ln>
          </c:spPr>
          <c:explosion val="0"/>
          <c:dPt>
            <c:idx val="0"/>
            <c:spPr>
              <a:solidFill>
                <a:srgbClr val="2e75b6"/>
              </a:solidFill>
              <a:ln w="0">
                <a:noFill/>
              </a:ln>
            </c:spPr>
          </c:dPt>
          <c:dPt>
            <c:idx val="1"/>
            <c:spPr>
              <a:solidFill>
                <a:srgbClr val="d9d9d9"/>
              </a:solidFill>
              <a:ln w="0">
                <a:noFill/>
              </a:ln>
            </c:spPr>
          </c:dPt>
          <c:dLbls>
            <c:numFmt formatCode="0%" sourceLinked="1"/>
            <c:dLbl>
              <c:idx val="0"/>
              <c:numFmt formatCode="0%" sourceLinked="1"/>
              <c:txPr>
                <a:bodyPr wrap="square"/>
                <a:lstStyle/>
                <a:p>
                  <a:pPr>
                    <a:defRPr b="0" sz="1000" spc="-1" strike="noStrike">
                      <a:solidFill>
                        <a:srgbClr val="000000"/>
                      </a:solidFill>
                      <a:latin typeface="Calibri"/>
                    </a:defRPr>
                  </a:pPr>
                </a:p>
              </c:txPr>
              <c:showLegendKey val="0"/>
              <c:showVal val="1"/>
              <c:showCatName val="0"/>
              <c:showSerName val="0"/>
              <c:showPercent val="0"/>
              <c:separator>; </c:separator>
            </c:dLbl>
            <c:dLbl>
              <c:idx val="1"/>
              <c:numFmt formatCode="0%" sourceLinked="1"/>
              <c:txPr>
                <a:bodyPr wrap="square"/>
                <a:lstStyle/>
                <a:p>
                  <a:pPr>
                    <a:defRPr b="0" sz="1000" spc="-1" strike="noStrike">
                      <a:solidFill>
                        <a:srgbClr val="000000"/>
                      </a:solidFill>
                      <a:latin typeface="Calibri"/>
                    </a:defRPr>
                  </a:pPr>
                </a:p>
              </c:txPr>
              <c:showLegendKey val="0"/>
              <c:showVal val="1"/>
              <c:showCatName val="0"/>
              <c:showSerName val="0"/>
              <c:showPercent val="0"/>
              <c:separator>; </c:separator>
            </c:dLbl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Calibri"/>
                  </a:defRPr>
                </a:pPr>
              </a:p>
            </c:txPr>
            <c:showLegendKey val="0"/>
            <c:showVal val="1"/>
            <c:showCatName val="0"/>
            <c:showSerName val="0"/>
            <c:showPercent val="0"/>
            <c:separator>; </c:separator>
            <c:showLeaderLines val="1"/>
          </c:dLbls>
          <c:cat>
            <c:strRef>
              <c:f>Acompanhamento!$O$177:$O$178</c:f>
              <c:strCache>
                <c:ptCount val="2"/>
                <c:pt idx="0">
                  <c:v>Concluído</c:v>
                </c:pt>
                <c:pt idx="1">
                  <c:v>Falta</c:v>
                </c:pt>
              </c:strCache>
            </c:strRef>
          </c:cat>
          <c:val>
            <c:numRef>
              <c:f>Acompanhamento!$P$177:$P$178</c:f>
              <c:numCache>
                <c:formatCode>0%</c:formatCode>
                <c:ptCount val="2"/>
                <c:pt idx="0">
                  <c:v>0</c:v>
                </c:pt>
                <c:pt idx="1">
                  <c:v>1</c:v>
                </c:pt>
              </c:numCache>
            </c:numRef>
          </c:val>
        </c:ser>
        <c:firstSliceAng val="0"/>
        <c:holeSize val="50"/>
      </c:doughnutChart>
      <c:spPr>
        <a:noFill/>
        <a:ln w="0">
          <a:noFill/>
        </a:ln>
      </c:spPr>
    </c:plotArea>
    <c:legend>
      <c:legendPos val="b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Progresso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doughnutChart>
        <c:varyColors val="1"/>
        <c:ser>
          <c:idx val="0"/>
          <c:order val="0"/>
          <c:spPr>
            <a:solidFill>
              <a:srgbClr val="4f81bd"/>
            </a:solidFill>
            <a:ln w="0">
              <a:noFill/>
            </a:ln>
          </c:spPr>
          <c:explosion val="0"/>
          <c:dPt>
            <c:idx val="0"/>
            <c:spPr>
              <a:solidFill>
                <a:srgbClr val="2e75b6"/>
              </a:solidFill>
              <a:ln w="0">
                <a:noFill/>
              </a:ln>
            </c:spPr>
          </c:dPt>
          <c:dPt>
            <c:idx val="1"/>
            <c:spPr>
              <a:solidFill>
                <a:srgbClr val="d9d9d9"/>
              </a:solidFill>
              <a:ln w="0">
                <a:noFill/>
              </a:ln>
            </c:spPr>
          </c:dPt>
          <c:dLbls>
            <c:numFmt formatCode="0%" sourceLinked="1"/>
            <c:dLbl>
              <c:idx val="0"/>
              <c:numFmt formatCode="0%" sourceLinked="1"/>
              <c:txPr>
                <a:bodyPr wrap="square"/>
                <a:lstStyle/>
                <a:p>
                  <a:pPr>
                    <a:defRPr b="0" sz="1000" spc="-1" strike="noStrike">
                      <a:solidFill>
                        <a:srgbClr val="000000"/>
                      </a:solidFill>
                      <a:latin typeface="Calibri"/>
                    </a:defRPr>
                  </a:pPr>
                </a:p>
              </c:txPr>
              <c:showLegendKey val="0"/>
              <c:showVal val="1"/>
              <c:showCatName val="0"/>
              <c:showSerName val="0"/>
              <c:showPercent val="0"/>
              <c:separator>; </c:separator>
            </c:dLbl>
            <c:dLbl>
              <c:idx val="1"/>
              <c:numFmt formatCode="0%" sourceLinked="1"/>
              <c:txPr>
                <a:bodyPr wrap="square"/>
                <a:lstStyle/>
                <a:p>
                  <a:pPr>
                    <a:defRPr b="0" sz="1000" spc="-1" strike="noStrike">
                      <a:solidFill>
                        <a:srgbClr val="000000"/>
                      </a:solidFill>
                      <a:latin typeface="Calibri"/>
                    </a:defRPr>
                  </a:pPr>
                </a:p>
              </c:txPr>
              <c:showLegendKey val="0"/>
              <c:showVal val="1"/>
              <c:showCatName val="0"/>
              <c:showSerName val="0"/>
              <c:showPercent val="0"/>
              <c:separator>; </c:separator>
            </c:dLbl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Calibri"/>
                  </a:defRPr>
                </a:pPr>
              </a:p>
            </c:txPr>
            <c:showLegendKey val="0"/>
            <c:showVal val="1"/>
            <c:showCatName val="0"/>
            <c:showSerName val="0"/>
            <c:showPercent val="0"/>
            <c:separator>; </c:separator>
            <c:showLeaderLines val="1"/>
          </c:dLbls>
          <c:cat>
            <c:strRef>
              <c:f>Acompanhamento!$O$192:$O$193</c:f>
              <c:strCache>
                <c:ptCount val="2"/>
                <c:pt idx="0">
                  <c:v>Concluído</c:v>
                </c:pt>
                <c:pt idx="1">
                  <c:v>Falta</c:v>
                </c:pt>
              </c:strCache>
            </c:strRef>
          </c:cat>
          <c:val>
            <c:numRef>
              <c:f>Acompanhamento!$P$192:$P$193</c:f>
              <c:numCache>
                <c:formatCode>0%</c:formatCode>
                <c:ptCount val="2"/>
                <c:pt idx="0">
                  <c:v>0</c:v>
                </c:pt>
                <c:pt idx="1">
                  <c:v>1</c:v>
                </c:pt>
              </c:numCache>
            </c:numRef>
          </c:val>
        </c:ser>
        <c:firstSliceAng val="0"/>
        <c:holeSize val="50"/>
      </c:doughnutChart>
      <c:spPr>
        <a:noFill/>
        <a:ln w="0">
          <a:noFill/>
        </a:ln>
      </c:spPr>
    </c:plotArea>
    <c:legend>
      <c:legendPos val="b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Progresso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doughnutChart>
        <c:varyColors val="1"/>
        <c:ser>
          <c:idx val="0"/>
          <c:order val="0"/>
          <c:spPr>
            <a:solidFill>
              <a:srgbClr val="4f81bd"/>
            </a:solidFill>
            <a:ln w="0">
              <a:noFill/>
            </a:ln>
          </c:spPr>
          <c:explosion val="0"/>
          <c:dPt>
            <c:idx val="0"/>
            <c:spPr>
              <a:solidFill>
                <a:srgbClr val="2e75b6"/>
              </a:solidFill>
              <a:ln w="0">
                <a:noFill/>
              </a:ln>
            </c:spPr>
          </c:dPt>
          <c:dPt>
            <c:idx val="1"/>
            <c:spPr>
              <a:solidFill>
                <a:srgbClr val="d9d9d9"/>
              </a:solidFill>
              <a:ln w="0">
                <a:noFill/>
              </a:ln>
            </c:spPr>
          </c:dPt>
          <c:dLbls>
            <c:numFmt formatCode="0%" sourceLinked="1"/>
            <c:dLbl>
              <c:idx val="0"/>
              <c:numFmt formatCode="0%" sourceLinked="1"/>
              <c:txPr>
                <a:bodyPr wrap="square"/>
                <a:lstStyle/>
                <a:p>
                  <a:pPr>
                    <a:defRPr b="0" sz="1000" spc="-1" strike="noStrike">
                      <a:solidFill>
                        <a:srgbClr val="000000"/>
                      </a:solidFill>
                      <a:latin typeface="Calibri"/>
                    </a:defRPr>
                  </a:pPr>
                </a:p>
              </c:txPr>
              <c:showLegendKey val="0"/>
              <c:showVal val="1"/>
              <c:showCatName val="0"/>
              <c:showSerName val="0"/>
              <c:showPercent val="0"/>
              <c:separator>; </c:separator>
            </c:dLbl>
            <c:dLbl>
              <c:idx val="1"/>
              <c:numFmt formatCode="0%" sourceLinked="1"/>
              <c:txPr>
                <a:bodyPr wrap="square"/>
                <a:lstStyle/>
                <a:p>
                  <a:pPr>
                    <a:defRPr b="0" sz="1000" spc="-1" strike="noStrike">
                      <a:solidFill>
                        <a:srgbClr val="000000"/>
                      </a:solidFill>
                      <a:latin typeface="Calibri"/>
                    </a:defRPr>
                  </a:pPr>
                </a:p>
              </c:txPr>
              <c:showLegendKey val="0"/>
              <c:showVal val="1"/>
              <c:showCatName val="0"/>
              <c:showSerName val="0"/>
              <c:showPercent val="0"/>
              <c:separator>; </c:separator>
            </c:dLbl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Calibri"/>
                  </a:defRPr>
                </a:pPr>
              </a:p>
            </c:txPr>
            <c:showLegendKey val="0"/>
            <c:showVal val="1"/>
            <c:showCatName val="0"/>
            <c:showSerName val="0"/>
            <c:showPercent val="0"/>
            <c:separator>; </c:separator>
            <c:showLeaderLines val="1"/>
          </c:dLbls>
          <c:cat>
            <c:strRef>
              <c:f>Acompanhamento!$O$207:$O$208</c:f>
              <c:strCache>
                <c:ptCount val="2"/>
                <c:pt idx="0">
                  <c:v>Concluído</c:v>
                </c:pt>
                <c:pt idx="1">
                  <c:v>Falta</c:v>
                </c:pt>
              </c:strCache>
            </c:strRef>
          </c:cat>
          <c:val>
            <c:numRef>
              <c:f>Acompanhamento!$P$207:$P$208</c:f>
              <c:numCache>
                <c:formatCode>0%</c:formatCode>
                <c:ptCount val="2"/>
                <c:pt idx="0">
                  <c:v>0</c:v>
                </c:pt>
                <c:pt idx="1">
                  <c:v>1</c:v>
                </c:pt>
              </c:numCache>
            </c:numRef>
          </c:val>
        </c:ser>
        <c:firstSliceAng val="0"/>
        <c:holeSize val="50"/>
      </c:doughnutChart>
      <c:spPr>
        <a:noFill/>
        <a:ln w="0">
          <a:noFill/>
        </a:ln>
      </c:spPr>
    </c:plotArea>
    <c:legend>
      <c:legendPos val="b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15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Progresso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doughnutChart>
        <c:varyColors val="1"/>
        <c:ser>
          <c:idx val="0"/>
          <c:order val="0"/>
          <c:spPr>
            <a:solidFill>
              <a:srgbClr val="4f81bd"/>
            </a:solidFill>
            <a:ln w="0">
              <a:noFill/>
            </a:ln>
          </c:spPr>
          <c:explosion val="0"/>
          <c:dPt>
            <c:idx val="0"/>
            <c:spPr>
              <a:solidFill>
                <a:srgbClr val="2e75b6"/>
              </a:solidFill>
              <a:ln w="0">
                <a:noFill/>
              </a:ln>
            </c:spPr>
          </c:dPt>
          <c:dPt>
            <c:idx val="1"/>
            <c:spPr>
              <a:solidFill>
                <a:srgbClr val="d9d9d9"/>
              </a:solidFill>
              <a:ln w="0">
                <a:noFill/>
              </a:ln>
            </c:spPr>
          </c:dPt>
          <c:dLbls>
            <c:numFmt formatCode="0%" sourceLinked="1"/>
            <c:dLbl>
              <c:idx val="0"/>
              <c:numFmt formatCode="0%" sourceLinked="1"/>
              <c:txPr>
                <a:bodyPr wrap="square"/>
                <a:lstStyle/>
                <a:p>
                  <a:pPr>
                    <a:defRPr b="0" sz="1000" spc="-1" strike="noStrike">
                      <a:solidFill>
                        <a:srgbClr val="000000"/>
                      </a:solidFill>
                      <a:latin typeface="Calibri"/>
                    </a:defRPr>
                  </a:pPr>
                </a:p>
              </c:txPr>
              <c:showLegendKey val="0"/>
              <c:showVal val="1"/>
              <c:showCatName val="0"/>
              <c:showSerName val="0"/>
              <c:showPercent val="0"/>
              <c:separator>; </c:separator>
            </c:dLbl>
            <c:dLbl>
              <c:idx val="1"/>
              <c:numFmt formatCode="0%" sourceLinked="1"/>
              <c:txPr>
                <a:bodyPr wrap="square"/>
                <a:lstStyle/>
                <a:p>
                  <a:pPr>
                    <a:defRPr b="0" sz="1000" spc="-1" strike="noStrike">
                      <a:solidFill>
                        <a:srgbClr val="000000"/>
                      </a:solidFill>
                      <a:latin typeface="Calibri"/>
                    </a:defRPr>
                  </a:pPr>
                </a:p>
              </c:txPr>
              <c:showLegendKey val="0"/>
              <c:showVal val="1"/>
              <c:showCatName val="0"/>
              <c:showSerName val="0"/>
              <c:showPercent val="0"/>
              <c:separator>; </c:separator>
            </c:dLbl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Calibri"/>
                  </a:defRPr>
                </a:pPr>
              </a:p>
            </c:txPr>
            <c:showLegendKey val="0"/>
            <c:showVal val="1"/>
            <c:showCatName val="0"/>
            <c:showSerName val="0"/>
            <c:showPercent val="0"/>
            <c:separator>; </c:separator>
            <c:showLeaderLines val="1"/>
          </c:dLbls>
          <c:cat>
            <c:strRef>
              <c:f>Acompanhamento!$O$222:$O$223</c:f>
              <c:strCache>
                <c:ptCount val="2"/>
                <c:pt idx="0">
                  <c:v>Concluído</c:v>
                </c:pt>
                <c:pt idx="1">
                  <c:v>Falta</c:v>
                </c:pt>
              </c:strCache>
            </c:strRef>
          </c:cat>
          <c:val>
            <c:numRef>
              <c:f>Acompanhamento!$P$222:$P$223</c:f>
              <c:numCache>
                <c:formatCode>0%</c:formatCode>
                <c:ptCount val="2"/>
                <c:pt idx="0">
                  <c:v>0</c:v>
                </c:pt>
                <c:pt idx="1">
                  <c:v>1</c:v>
                </c:pt>
              </c:numCache>
            </c:numRef>
          </c:val>
        </c:ser>
        <c:firstSliceAng val="0"/>
        <c:holeSize val="50"/>
      </c:doughnutChart>
      <c:spPr>
        <a:noFill/>
        <a:ln w="0">
          <a:noFill/>
        </a:ln>
      </c:spPr>
    </c:plotArea>
    <c:legend>
      <c:legendPos val="b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16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Progresso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doughnutChart>
        <c:varyColors val="1"/>
        <c:ser>
          <c:idx val="0"/>
          <c:order val="0"/>
          <c:spPr>
            <a:solidFill>
              <a:srgbClr val="4f81bd"/>
            </a:solidFill>
            <a:ln w="0">
              <a:noFill/>
            </a:ln>
          </c:spPr>
          <c:explosion val="0"/>
          <c:dPt>
            <c:idx val="0"/>
            <c:spPr>
              <a:solidFill>
                <a:srgbClr val="2e75b6"/>
              </a:solidFill>
              <a:ln w="0">
                <a:noFill/>
              </a:ln>
            </c:spPr>
          </c:dPt>
          <c:dPt>
            <c:idx val="1"/>
            <c:spPr>
              <a:solidFill>
                <a:srgbClr val="d9d9d9"/>
              </a:solidFill>
              <a:ln w="0">
                <a:noFill/>
              </a:ln>
            </c:spPr>
          </c:dPt>
          <c:dLbls>
            <c:numFmt formatCode="0%" sourceLinked="1"/>
            <c:dLbl>
              <c:idx val="0"/>
              <c:numFmt formatCode="0%" sourceLinked="1"/>
              <c:txPr>
                <a:bodyPr wrap="square"/>
                <a:lstStyle/>
                <a:p>
                  <a:pPr>
                    <a:defRPr b="0" sz="1000" spc="-1" strike="noStrike">
                      <a:solidFill>
                        <a:srgbClr val="000000"/>
                      </a:solidFill>
                      <a:latin typeface="Calibri"/>
                    </a:defRPr>
                  </a:pPr>
                </a:p>
              </c:txPr>
              <c:showLegendKey val="0"/>
              <c:showVal val="1"/>
              <c:showCatName val="0"/>
              <c:showSerName val="0"/>
              <c:showPercent val="0"/>
              <c:separator>; </c:separator>
            </c:dLbl>
            <c:dLbl>
              <c:idx val="1"/>
              <c:numFmt formatCode="0%" sourceLinked="1"/>
              <c:txPr>
                <a:bodyPr wrap="square"/>
                <a:lstStyle/>
                <a:p>
                  <a:pPr>
                    <a:defRPr b="0" sz="1000" spc="-1" strike="noStrike">
                      <a:solidFill>
                        <a:srgbClr val="000000"/>
                      </a:solidFill>
                      <a:latin typeface="Calibri"/>
                    </a:defRPr>
                  </a:pPr>
                </a:p>
              </c:txPr>
              <c:showLegendKey val="0"/>
              <c:showVal val="1"/>
              <c:showCatName val="0"/>
              <c:showSerName val="0"/>
              <c:showPercent val="0"/>
              <c:separator>; </c:separator>
            </c:dLbl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Calibri"/>
                  </a:defRPr>
                </a:pPr>
              </a:p>
            </c:txPr>
            <c:showLegendKey val="0"/>
            <c:showVal val="1"/>
            <c:showCatName val="0"/>
            <c:showSerName val="0"/>
            <c:showPercent val="0"/>
            <c:separator>; </c:separator>
            <c:showLeaderLines val="1"/>
          </c:dLbls>
          <c:cat>
            <c:strRef>
              <c:f>Acompanhamento!$O$237:$O$238</c:f>
              <c:strCache>
                <c:ptCount val="2"/>
                <c:pt idx="0">
                  <c:v>Concluído</c:v>
                </c:pt>
                <c:pt idx="1">
                  <c:v>Falta</c:v>
                </c:pt>
              </c:strCache>
            </c:strRef>
          </c:cat>
          <c:val>
            <c:numRef>
              <c:f>Acompanhamento!$P$237:$P$238</c:f>
              <c:numCache>
                <c:formatCode>0%</c:formatCode>
                <c:ptCount val="2"/>
                <c:pt idx="0">
                  <c:v>0</c:v>
                </c:pt>
                <c:pt idx="1">
                  <c:v>1</c:v>
                </c:pt>
              </c:numCache>
            </c:numRef>
          </c:val>
        </c:ser>
        <c:firstSliceAng val="0"/>
        <c:holeSize val="50"/>
      </c:doughnutChart>
      <c:spPr>
        <a:noFill/>
        <a:ln w="0">
          <a:noFill/>
        </a:ln>
      </c:spPr>
    </c:plotArea>
    <c:legend>
      <c:legendPos val="b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17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Progresso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doughnutChart>
        <c:varyColors val="1"/>
        <c:ser>
          <c:idx val="0"/>
          <c:order val="0"/>
          <c:spPr>
            <a:solidFill>
              <a:srgbClr val="4f81bd"/>
            </a:solidFill>
            <a:ln w="0">
              <a:noFill/>
            </a:ln>
          </c:spPr>
          <c:explosion val="0"/>
          <c:dPt>
            <c:idx val="0"/>
            <c:spPr>
              <a:solidFill>
                <a:srgbClr val="2e75b6"/>
              </a:solidFill>
              <a:ln w="0">
                <a:noFill/>
              </a:ln>
            </c:spPr>
          </c:dPt>
          <c:dPt>
            <c:idx val="1"/>
            <c:spPr>
              <a:solidFill>
                <a:srgbClr val="d9d9d9"/>
              </a:solidFill>
              <a:ln w="0">
                <a:noFill/>
              </a:ln>
            </c:spPr>
          </c:dPt>
          <c:dLbls>
            <c:numFmt formatCode="0%" sourceLinked="1"/>
            <c:dLbl>
              <c:idx val="0"/>
              <c:numFmt formatCode="0%" sourceLinked="1"/>
              <c:txPr>
                <a:bodyPr wrap="square"/>
                <a:lstStyle/>
                <a:p>
                  <a:pPr>
                    <a:defRPr b="0" sz="1000" spc="-1" strike="noStrike">
                      <a:solidFill>
                        <a:srgbClr val="000000"/>
                      </a:solidFill>
                      <a:latin typeface="Calibri"/>
                    </a:defRPr>
                  </a:pPr>
                </a:p>
              </c:txPr>
              <c:showLegendKey val="0"/>
              <c:showVal val="1"/>
              <c:showCatName val="0"/>
              <c:showSerName val="0"/>
              <c:showPercent val="0"/>
              <c:separator>; </c:separator>
            </c:dLbl>
            <c:dLbl>
              <c:idx val="1"/>
              <c:numFmt formatCode="0%" sourceLinked="1"/>
              <c:txPr>
                <a:bodyPr wrap="square"/>
                <a:lstStyle/>
                <a:p>
                  <a:pPr>
                    <a:defRPr b="0" sz="1000" spc="-1" strike="noStrike">
                      <a:solidFill>
                        <a:srgbClr val="000000"/>
                      </a:solidFill>
                      <a:latin typeface="Calibri"/>
                    </a:defRPr>
                  </a:pPr>
                </a:p>
              </c:txPr>
              <c:showLegendKey val="0"/>
              <c:showVal val="1"/>
              <c:showCatName val="0"/>
              <c:showSerName val="0"/>
              <c:showPercent val="0"/>
              <c:separator>; </c:separator>
            </c:dLbl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Calibri"/>
                  </a:defRPr>
                </a:pPr>
              </a:p>
            </c:txPr>
            <c:showLegendKey val="0"/>
            <c:showVal val="1"/>
            <c:showCatName val="0"/>
            <c:showSerName val="0"/>
            <c:showPercent val="0"/>
            <c:separator>; </c:separator>
            <c:showLeaderLines val="1"/>
          </c:dLbls>
          <c:cat>
            <c:strRef>
              <c:f>Acompanhamento!$O$252:$O$253</c:f>
              <c:strCache>
                <c:ptCount val="2"/>
                <c:pt idx="0">
                  <c:v>Concluído</c:v>
                </c:pt>
                <c:pt idx="1">
                  <c:v>Falta</c:v>
                </c:pt>
              </c:strCache>
            </c:strRef>
          </c:cat>
          <c:val>
            <c:numRef>
              <c:f>Acompanhamento!$P$252:$P$253</c:f>
              <c:numCache>
                <c:formatCode>0%</c:formatCode>
                <c:ptCount val="2"/>
                <c:pt idx="0">
                  <c:v>0</c:v>
                </c:pt>
                <c:pt idx="1">
                  <c:v>1</c:v>
                </c:pt>
              </c:numCache>
            </c:numRef>
          </c:val>
        </c:ser>
        <c:firstSliceAng val="0"/>
        <c:holeSize val="50"/>
      </c:doughnutChart>
      <c:spPr>
        <a:noFill/>
        <a:ln w="0">
          <a:noFill/>
        </a:ln>
      </c:spPr>
    </c:plotArea>
    <c:legend>
      <c:legendPos val="b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18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Progresso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doughnutChart>
        <c:varyColors val="1"/>
        <c:ser>
          <c:idx val="0"/>
          <c:order val="0"/>
          <c:spPr>
            <a:solidFill>
              <a:srgbClr val="4f81bd"/>
            </a:solidFill>
            <a:ln w="0">
              <a:noFill/>
            </a:ln>
          </c:spPr>
          <c:explosion val="0"/>
          <c:dPt>
            <c:idx val="0"/>
            <c:spPr>
              <a:solidFill>
                <a:srgbClr val="2e75b6"/>
              </a:solidFill>
              <a:ln w="0">
                <a:noFill/>
              </a:ln>
            </c:spPr>
          </c:dPt>
          <c:dPt>
            <c:idx val="1"/>
            <c:spPr>
              <a:solidFill>
                <a:srgbClr val="d9d9d9"/>
              </a:solidFill>
              <a:ln w="0">
                <a:noFill/>
              </a:ln>
            </c:spPr>
          </c:dPt>
          <c:dLbls>
            <c:numFmt formatCode="0%" sourceLinked="1"/>
            <c:dLbl>
              <c:idx val="0"/>
              <c:numFmt formatCode="0%" sourceLinked="1"/>
              <c:txPr>
                <a:bodyPr wrap="square"/>
                <a:lstStyle/>
                <a:p>
                  <a:pPr>
                    <a:defRPr b="0" sz="1000" spc="-1" strike="noStrike">
                      <a:solidFill>
                        <a:srgbClr val="000000"/>
                      </a:solidFill>
                      <a:latin typeface="Calibri"/>
                    </a:defRPr>
                  </a:pPr>
                </a:p>
              </c:txPr>
              <c:showLegendKey val="0"/>
              <c:showVal val="1"/>
              <c:showCatName val="0"/>
              <c:showSerName val="0"/>
              <c:showPercent val="0"/>
              <c:separator>; </c:separator>
            </c:dLbl>
            <c:dLbl>
              <c:idx val="1"/>
              <c:numFmt formatCode="0%" sourceLinked="1"/>
              <c:txPr>
                <a:bodyPr wrap="square"/>
                <a:lstStyle/>
                <a:p>
                  <a:pPr>
                    <a:defRPr b="0" sz="1000" spc="-1" strike="noStrike">
                      <a:solidFill>
                        <a:srgbClr val="000000"/>
                      </a:solidFill>
                      <a:latin typeface="Calibri"/>
                    </a:defRPr>
                  </a:pPr>
                </a:p>
              </c:txPr>
              <c:showLegendKey val="0"/>
              <c:showVal val="1"/>
              <c:showCatName val="0"/>
              <c:showSerName val="0"/>
              <c:showPercent val="0"/>
              <c:separator>; </c:separator>
            </c:dLbl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Calibri"/>
                  </a:defRPr>
                </a:pPr>
              </a:p>
            </c:txPr>
            <c:showLegendKey val="0"/>
            <c:showVal val="1"/>
            <c:showCatName val="0"/>
            <c:showSerName val="0"/>
            <c:showPercent val="0"/>
            <c:separator>; </c:separator>
            <c:showLeaderLines val="1"/>
          </c:dLbls>
          <c:cat>
            <c:strRef>
              <c:f>Acompanhamento!$O$267:$O$268</c:f>
              <c:strCache>
                <c:ptCount val="2"/>
                <c:pt idx="0">
                  <c:v>Concluído</c:v>
                </c:pt>
                <c:pt idx="1">
                  <c:v>Falta</c:v>
                </c:pt>
              </c:strCache>
            </c:strRef>
          </c:cat>
          <c:val>
            <c:numRef>
              <c:f>Acompanhamento!$P$267:$P$268</c:f>
              <c:numCache>
                <c:formatCode>0%</c:formatCode>
                <c:ptCount val="2"/>
                <c:pt idx="0">
                  <c:v>0</c:v>
                </c:pt>
                <c:pt idx="1">
                  <c:v>1</c:v>
                </c:pt>
              </c:numCache>
            </c:numRef>
          </c:val>
        </c:ser>
        <c:firstSliceAng val="0"/>
        <c:holeSize val="50"/>
      </c:doughnutChart>
      <c:spPr>
        <a:noFill/>
        <a:ln w="0">
          <a:noFill/>
        </a:ln>
      </c:spPr>
    </c:plotArea>
    <c:legend>
      <c:legendPos val="b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19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Progresso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doughnutChart>
        <c:varyColors val="1"/>
        <c:ser>
          <c:idx val="0"/>
          <c:order val="0"/>
          <c:spPr>
            <a:solidFill>
              <a:srgbClr val="4f81bd"/>
            </a:solidFill>
            <a:ln w="0">
              <a:noFill/>
            </a:ln>
          </c:spPr>
          <c:explosion val="0"/>
          <c:dPt>
            <c:idx val="0"/>
            <c:spPr>
              <a:solidFill>
                <a:srgbClr val="2e75b6"/>
              </a:solidFill>
              <a:ln w="0">
                <a:noFill/>
              </a:ln>
            </c:spPr>
          </c:dPt>
          <c:dPt>
            <c:idx val="1"/>
            <c:spPr>
              <a:solidFill>
                <a:srgbClr val="d9d9d9"/>
              </a:solidFill>
              <a:ln w="0">
                <a:noFill/>
              </a:ln>
            </c:spPr>
          </c:dPt>
          <c:dLbls>
            <c:numFmt formatCode="0%" sourceLinked="1"/>
            <c:dLbl>
              <c:idx val="0"/>
              <c:numFmt formatCode="0%" sourceLinked="1"/>
              <c:txPr>
                <a:bodyPr wrap="square"/>
                <a:lstStyle/>
                <a:p>
                  <a:pPr>
                    <a:defRPr b="0" sz="1000" spc="-1" strike="noStrike">
                      <a:solidFill>
                        <a:srgbClr val="000000"/>
                      </a:solidFill>
                      <a:latin typeface="Calibri"/>
                    </a:defRPr>
                  </a:pPr>
                </a:p>
              </c:txPr>
              <c:showLegendKey val="0"/>
              <c:showVal val="1"/>
              <c:showCatName val="0"/>
              <c:showSerName val="0"/>
              <c:showPercent val="0"/>
              <c:separator>; </c:separator>
            </c:dLbl>
            <c:dLbl>
              <c:idx val="1"/>
              <c:numFmt formatCode="0%" sourceLinked="1"/>
              <c:txPr>
                <a:bodyPr wrap="square"/>
                <a:lstStyle/>
                <a:p>
                  <a:pPr>
                    <a:defRPr b="0" sz="1000" spc="-1" strike="noStrike">
                      <a:solidFill>
                        <a:srgbClr val="000000"/>
                      </a:solidFill>
                      <a:latin typeface="Calibri"/>
                    </a:defRPr>
                  </a:pPr>
                </a:p>
              </c:txPr>
              <c:showLegendKey val="0"/>
              <c:showVal val="1"/>
              <c:showCatName val="0"/>
              <c:showSerName val="0"/>
              <c:showPercent val="0"/>
              <c:separator>; </c:separator>
            </c:dLbl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Calibri"/>
                  </a:defRPr>
                </a:pPr>
              </a:p>
            </c:txPr>
            <c:showLegendKey val="0"/>
            <c:showVal val="1"/>
            <c:showCatName val="0"/>
            <c:showSerName val="0"/>
            <c:showPercent val="0"/>
            <c:separator>; </c:separator>
            <c:showLeaderLines val="1"/>
          </c:dLbls>
          <c:cat>
            <c:strRef>
              <c:f>Acompanhamento!$O$282:$O$283</c:f>
              <c:strCache>
                <c:ptCount val="2"/>
                <c:pt idx="0">
                  <c:v>Concluído</c:v>
                </c:pt>
                <c:pt idx="1">
                  <c:v>Falta</c:v>
                </c:pt>
              </c:strCache>
            </c:strRef>
          </c:cat>
          <c:val>
            <c:numRef>
              <c:f>Acompanhamento!$P$282:$P$283</c:f>
              <c:numCache>
                <c:formatCode>0%</c:formatCode>
                <c:ptCount val="2"/>
                <c:pt idx="0">
                  <c:v>0</c:v>
                </c:pt>
                <c:pt idx="1">
                  <c:v>1</c:v>
                </c:pt>
              </c:numCache>
            </c:numRef>
          </c:val>
        </c:ser>
        <c:firstSliceAng val="0"/>
        <c:holeSize val="50"/>
      </c:doughnutChart>
      <c:spPr>
        <a:noFill/>
        <a:ln w="0">
          <a:noFill/>
        </a:ln>
      </c:spPr>
    </c:plotArea>
    <c:legend>
      <c:legendPos val="b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20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Progresso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doughnutChart>
        <c:varyColors val="1"/>
        <c:ser>
          <c:idx val="0"/>
          <c:order val="0"/>
          <c:spPr>
            <a:solidFill>
              <a:srgbClr val="4f81bd"/>
            </a:solidFill>
            <a:ln w="0">
              <a:noFill/>
            </a:ln>
          </c:spPr>
          <c:explosion val="0"/>
          <c:dPt>
            <c:idx val="0"/>
            <c:spPr>
              <a:solidFill>
                <a:srgbClr val="2e75b6"/>
              </a:solidFill>
              <a:ln w="0">
                <a:noFill/>
              </a:ln>
            </c:spPr>
          </c:dPt>
          <c:dPt>
            <c:idx val="1"/>
            <c:spPr>
              <a:solidFill>
                <a:srgbClr val="d9d9d9"/>
              </a:solidFill>
              <a:ln w="0">
                <a:noFill/>
              </a:ln>
            </c:spPr>
          </c:dPt>
          <c:dLbls>
            <c:numFmt formatCode="0%" sourceLinked="1"/>
            <c:dLbl>
              <c:idx val="0"/>
              <c:numFmt formatCode="0%" sourceLinked="1"/>
              <c:txPr>
                <a:bodyPr wrap="square"/>
                <a:lstStyle/>
                <a:p>
                  <a:pPr>
                    <a:defRPr b="0" sz="1000" spc="-1" strike="noStrike">
                      <a:solidFill>
                        <a:srgbClr val="000000"/>
                      </a:solidFill>
                      <a:latin typeface="Calibri"/>
                    </a:defRPr>
                  </a:pPr>
                </a:p>
              </c:txPr>
              <c:showLegendKey val="0"/>
              <c:showVal val="1"/>
              <c:showCatName val="0"/>
              <c:showSerName val="0"/>
              <c:showPercent val="0"/>
              <c:separator>; </c:separator>
            </c:dLbl>
            <c:dLbl>
              <c:idx val="1"/>
              <c:numFmt formatCode="0%" sourceLinked="1"/>
              <c:txPr>
                <a:bodyPr wrap="square"/>
                <a:lstStyle/>
                <a:p>
                  <a:pPr>
                    <a:defRPr b="0" sz="1000" spc="-1" strike="noStrike">
                      <a:solidFill>
                        <a:srgbClr val="000000"/>
                      </a:solidFill>
                      <a:latin typeface="Calibri"/>
                    </a:defRPr>
                  </a:pPr>
                </a:p>
              </c:txPr>
              <c:showLegendKey val="0"/>
              <c:showVal val="1"/>
              <c:showCatName val="0"/>
              <c:showSerName val="0"/>
              <c:showPercent val="0"/>
              <c:separator>; </c:separator>
            </c:dLbl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Calibri"/>
                  </a:defRPr>
                </a:pPr>
              </a:p>
            </c:txPr>
            <c:showLegendKey val="0"/>
            <c:showVal val="1"/>
            <c:showCatName val="0"/>
            <c:showSerName val="0"/>
            <c:showPercent val="0"/>
            <c:separator>; </c:separator>
            <c:showLeaderLines val="1"/>
          </c:dLbls>
          <c:cat>
            <c:strRef>
              <c:f>Acompanhamento!$O$297:$O$298</c:f>
              <c:strCache>
                <c:ptCount val="2"/>
                <c:pt idx="0">
                  <c:v>Concluído</c:v>
                </c:pt>
                <c:pt idx="1">
                  <c:v>Falta</c:v>
                </c:pt>
              </c:strCache>
            </c:strRef>
          </c:cat>
          <c:val>
            <c:numRef>
              <c:f>Acompanhamento!$P$297:$P$298</c:f>
              <c:numCache>
                <c:formatCode>0%</c:formatCode>
                <c:ptCount val="2"/>
                <c:pt idx="0">
                  <c:v>0</c:v>
                </c:pt>
                <c:pt idx="1">
                  <c:v>1</c:v>
                </c:pt>
              </c:numCache>
            </c:numRef>
          </c:val>
        </c:ser>
        <c:firstSliceAng val="0"/>
        <c:holeSize val="50"/>
      </c:doughnutChart>
      <c:spPr>
        <a:noFill/>
        <a:ln w="0">
          <a:noFill/>
        </a:ln>
      </c:spPr>
    </c:plotArea>
    <c:legend>
      <c:legendPos val="b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2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Progresso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doughnutChart>
        <c:varyColors val="1"/>
        <c:ser>
          <c:idx val="0"/>
          <c:order val="0"/>
          <c:spPr>
            <a:solidFill>
              <a:srgbClr val="4f81bd"/>
            </a:solidFill>
            <a:ln w="0">
              <a:noFill/>
            </a:ln>
          </c:spPr>
          <c:explosion val="0"/>
          <c:dPt>
            <c:idx val="0"/>
            <c:spPr>
              <a:solidFill>
                <a:srgbClr val="2e75b6"/>
              </a:solidFill>
              <a:ln w="0">
                <a:noFill/>
              </a:ln>
            </c:spPr>
          </c:dPt>
          <c:dPt>
            <c:idx val="1"/>
            <c:spPr>
              <a:solidFill>
                <a:srgbClr val="d9d9d9"/>
              </a:solidFill>
              <a:ln w="0">
                <a:noFill/>
              </a:ln>
            </c:spPr>
          </c:dPt>
          <c:dLbls>
            <c:numFmt formatCode="0%" sourceLinked="1"/>
            <c:dLbl>
              <c:idx val="0"/>
              <c:numFmt formatCode="0%" sourceLinked="1"/>
              <c:txPr>
                <a:bodyPr wrap="square"/>
                <a:lstStyle/>
                <a:p>
                  <a:pPr>
                    <a:defRPr b="0" sz="1000" spc="-1" strike="noStrike">
                      <a:solidFill>
                        <a:srgbClr val="000000"/>
                      </a:solidFill>
                      <a:latin typeface="Calibri"/>
                    </a:defRPr>
                  </a:pPr>
                </a:p>
              </c:txPr>
              <c:showLegendKey val="0"/>
              <c:showVal val="1"/>
              <c:showCatName val="0"/>
              <c:showSerName val="0"/>
              <c:showPercent val="0"/>
              <c:separator>; </c:separator>
            </c:dLbl>
            <c:dLbl>
              <c:idx val="1"/>
              <c:numFmt formatCode="0%" sourceLinked="1"/>
              <c:txPr>
                <a:bodyPr wrap="square"/>
                <a:lstStyle/>
                <a:p>
                  <a:pPr>
                    <a:defRPr b="0" sz="1000" spc="-1" strike="noStrike">
                      <a:solidFill>
                        <a:srgbClr val="000000"/>
                      </a:solidFill>
                      <a:latin typeface="Calibri"/>
                    </a:defRPr>
                  </a:pPr>
                </a:p>
              </c:txPr>
              <c:showLegendKey val="0"/>
              <c:showVal val="1"/>
              <c:showCatName val="0"/>
              <c:showSerName val="0"/>
              <c:showPercent val="0"/>
              <c:separator>; </c:separator>
            </c:dLbl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Calibri"/>
                  </a:defRPr>
                </a:pPr>
              </a:p>
            </c:txPr>
            <c:showLegendKey val="0"/>
            <c:showVal val="1"/>
            <c:showCatName val="0"/>
            <c:showSerName val="0"/>
            <c:showPercent val="0"/>
            <c:separator>; </c:separator>
            <c:showLeaderLines val="1"/>
          </c:dLbls>
          <c:cat>
            <c:strRef>
              <c:f>Acompanhamento!$O$312:$O$313</c:f>
              <c:strCache>
                <c:ptCount val="2"/>
                <c:pt idx="0">
                  <c:v>Concluído</c:v>
                </c:pt>
                <c:pt idx="1">
                  <c:v>Falta</c:v>
                </c:pt>
              </c:strCache>
            </c:strRef>
          </c:cat>
          <c:val>
            <c:numRef>
              <c:f>Acompanhamento!$P$312:$P$313</c:f>
              <c:numCache>
                <c:formatCode>0%</c:formatCode>
                <c:ptCount val="2"/>
                <c:pt idx="0">
                  <c:v>0</c:v>
                </c:pt>
                <c:pt idx="1">
                  <c:v>1</c:v>
                </c:pt>
              </c:numCache>
            </c:numRef>
          </c:val>
        </c:ser>
        <c:firstSliceAng val="0"/>
        <c:holeSize val="50"/>
      </c:doughnutChart>
      <c:spPr>
        <a:noFill/>
        <a:ln w="0">
          <a:noFill/>
        </a:ln>
      </c:spPr>
    </c:plotArea>
    <c:legend>
      <c:legendPos val="b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2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Progresso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doughnutChart>
        <c:varyColors val="1"/>
        <c:ser>
          <c:idx val="0"/>
          <c:order val="0"/>
          <c:spPr>
            <a:solidFill>
              <a:srgbClr val="4f81bd"/>
            </a:solidFill>
            <a:ln w="0">
              <a:noFill/>
            </a:ln>
          </c:spPr>
          <c:explosion val="0"/>
          <c:dPt>
            <c:idx val="0"/>
            <c:spPr>
              <a:solidFill>
                <a:srgbClr val="2e75b6"/>
              </a:solidFill>
              <a:ln w="0">
                <a:noFill/>
              </a:ln>
            </c:spPr>
          </c:dPt>
          <c:dPt>
            <c:idx val="1"/>
            <c:spPr>
              <a:solidFill>
                <a:srgbClr val="d9d9d9"/>
              </a:solidFill>
              <a:ln w="0">
                <a:noFill/>
              </a:ln>
            </c:spPr>
          </c:dPt>
          <c:dLbls>
            <c:numFmt formatCode="0%" sourceLinked="1"/>
            <c:dLbl>
              <c:idx val="0"/>
              <c:numFmt formatCode="0%" sourceLinked="1"/>
              <c:txPr>
                <a:bodyPr wrap="square"/>
                <a:lstStyle/>
                <a:p>
                  <a:pPr>
                    <a:defRPr b="0" sz="1000" spc="-1" strike="noStrike">
                      <a:solidFill>
                        <a:srgbClr val="000000"/>
                      </a:solidFill>
                      <a:latin typeface="Calibri"/>
                    </a:defRPr>
                  </a:pPr>
                </a:p>
              </c:txPr>
              <c:showLegendKey val="0"/>
              <c:showVal val="1"/>
              <c:showCatName val="0"/>
              <c:showSerName val="0"/>
              <c:showPercent val="0"/>
              <c:separator>; </c:separator>
            </c:dLbl>
            <c:dLbl>
              <c:idx val="1"/>
              <c:numFmt formatCode="0%" sourceLinked="1"/>
              <c:txPr>
                <a:bodyPr wrap="square"/>
                <a:lstStyle/>
                <a:p>
                  <a:pPr>
                    <a:defRPr b="0" sz="1000" spc="-1" strike="noStrike">
                      <a:solidFill>
                        <a:srgbClr val="000000"/>
                      </a:solidFill>
                      <a:latin typeface="Calibri"/>
                    </a:defRPr>
                  </a:pPr>
                </a:p>
              </c:txPr>
              <c:showLegendKey val="0"/>
              <c:showVal val="1"/>
              <c:showCatName val="0"/>
              <c:showSerName val="0"/>
              <c:showPercent val="0"/>
              <c:separator>; </c:separator>
            </c:dLbl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Calibri"/>
                  </a:defRPr>
                </a:pPr>
              </a:p>
            </c:txPr>
            <c:showLegendKey val="0"/>
            <c:showVal val="1"/>
            <c:showCatName val="0"/>
            <c:showSerName val="0"/>
            <c:showPercent val="0"/>
            <c:separator>; </c:separator>
            <c:showLeaderLines val="1"/>
          </c:dLbls>
          <c:cat>
            <c:strRef>
              <c:f>Acompanhamento!$O$327:$O$328</c:f>
              <c:strCache>
                <c:ptCount val="2"/>
                <c:pt idx="0">
                  <c:v>Concluído</c:v>
                </c:pt>
                <c:pt idx="1">
                  <c:v>Falta</c:v>
                </c:pt>
              </c:strCache>
            </c:strRef>
          </c:cat>
          <c:val>
            <c:numRef>
              <c:f>Acompanhamento!$P$327:$P$328</c:f>
              <c:numCache>
                <c:formatCode>0%</c:formatCode>
                <c:ptCount val="2"/>
                <c:pt idx="0">
                  <c:v>0</c:v>
                </c:pt>
                <c:pt idx="1">
                  <c:v>1</c:v>
                </c:pt>
              </c:numCache>
            </c:numRef>
          </c:val>
        </c:ser>
        <c:firstSliceAng val="0"/>
        <c:holeSize val="50"/>
      </c:doughnutChart>
      <c:spPr>
        <a:noFill/>
        <a:ln w="0">
          <a:noFill/>
        </a:ln>
      </c:spPr>
    </c:plotArea>
    <c:legend>
      <c:legendPos val="b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2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Progresso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doughnutChart>
        <c:varyColors val="1"/>
        <c:ser>
          <c:idx val="0"/>
          <c:order val="0"/>
          <c:spPr>
            <a:solidFill>
              <a:srgbClr val="4f81bd"/>
            </a:solidFill>
            <a:ln w="0">
              <a:noFill/>
            </a:ln>
          </c:spPr>
          <c:explosion val="0"/>
          <c:dPt>
            <c:idx val="0"/>
            <c:spPr>
              <a:solidFill>
                <a:srgbClr val="2e75b6"/>
              </a:solidFill>
              <a:ln w="0">
                <a:noFill/>
              </a:ln>
            </c:spPr>
          </c:dPt>
          <c:dPt>
            <c:idx val="1"/>
            <c:spPr>
              <a:solidFill>
                <a:srgbClr val="d9d9d9"/>
              </a:solidFill>
              <a:ln w="0">
                <a:noFill/>
              </a:ln>
            </c:spPr>
          </c:dPt>
          <c:dLbls>
            <c:numFmt formatCode="0%" sourceLinked="1"/>
            <c:dLbl>
              <c:idx val="0"/>
              <c:numFmt formatCode="0%" sourceLinked="1"/>
              <c:txPr>
                <a:bodyPr wrap="square"/>
                <a:lstStyle/>
                <a:p>
                  <a:pPr>
                    <a:defRPr b="0" sz="1000" spc="-1" strike="noStrike">
                      <a:solidFill>
                        <a:srgbClr val="000000"/>
                      </a:solidFill>
                      <a:latin typeface="Calibri"/>
                    </a:defRPr>
                  </a:pPr>
                </a:p>
              </c:txPr>
              <c:showLegendKey val="0"/>
              <c:showVal val="1"/>
              <c:showCatName val="0"/>
              <c:showSerName val="0"/>
              <c:showPercent val="0"/>
              <c:separator>; </c:separator>
            </c:dLbl>
            <c:dLbl>
              <c:idx val="1"/>
              <c:numFmt formatCode="0%" sourceLinked="1"/>
              <c:txPr>
                <a:bodyPr wrap="square"/>
                <a:lstStyle/>
                <a:p>
                  <a:pPr>
                    <a:defRPr b="0" sz="1000" spc="-1" strike="noStrike">
                      <a:solidFill>
                        <a:srgbClr val="000000"/>
                      </a:solidFill>
                      <a:latin typeface="Calibri"/>
                    </a:defRPr>
                  </a:pPr>
                </a:p>
              </c:txPr>
              <c:showLegendKey val="0"/>
              <c:showVal val="1"/>
              <c:showCatName val="0"/>
              <c:showSerName val="0"/>
              <c:showPercent val="0"/>
              <c:separator>; </c:separator>
            </c:dLbl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Calibri"/>
                  </a:defRPr>
                </a:pPr>
              </a:p>
            </c:txPr>
            <c:showLegendKey val="0"/>
            <c:showVal val="1"/>
            <c:showCatName val="0"/>
            <c:showSerName val="0"/>
            <c:showPercent val="0"/>
            <c:separator>; </c:separator>
            <c:showLeaderLines val="1"/>
          </c:dLbls>
          <c:cat>
            <c:strRef>
              <c:f>Acompanhamento!$O$342:$O$343</c:f>
              <c:strCache>
                <c:ptCount val="2"/>
                <c:pt idx="0">
                  <c:v>Concluído</c:v>
                </c:pt>
                <c:pt idx="1">
                  <c:v>Falta</c:v>
                </c:pt>
              </c:strCache>
            </c:strRef>
          </c:cat>
          <c:val>
            <c:numRef>
              <c:f>Acompanhamento!$P$342:$P$343</c:f>
              <c:numCache>
                <c:formatCode>0%</c:formatCode>
                <c:ptCount val="2"/>
                <c:pt idx="0">
                  <c:v>0</c:v>
                </c:pt>
                <c:pt idx="1">
                  <c:v>1</c:v>
                </c:pt>
              </c:numCache>
            </c:numRef>
          </c:val>
        </c:ser>
        <c:firstSliceAng val="0"/>
        <c:holeSize val="50"/>
      </c:doughnutChart>
      <c:spPr>
        <a:noFill/>
        <a:ln w="0">
          <a:noFill/>
        </a:ln>
      </c:spPr>
    </c:plotArea>
    <c:legend>
      <c:legendPos val="b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2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Progresso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doughnutChart>
        <c:varyColors val="1"/>
        <c:ser>
          <c:idx val="0"/>
          <c:order val="0"/>
          <c:spPr>
            <a:solidFill>
              <a:srgbClr val="4f81bd"/>
            </a:solidFill>
            <a:ln w="0">
              <a:noFill/>
            </a:ln>
          </c:spPr>
          <c:explosion val="0"/>
          <c:dPt>
            <c:idx val="0"/>
            <c:spPr>
              <a:solidFill>
                <a:srgbClr val="2e75b6"/>
              </a:solidFill>
              <a:ln w="0">
                <a:noFill/>
              </a:ln>
            </c:spPr>
          </c:dPt>
          <c:dPt>
            <c:idx val="1"/>
            <c:spPr>
              <a:solidFill>
                <a:srgbClr val="d9d9d9"/>
              </a:solidFill>
              <a:ln w="0">
                <a:noFill/>
              </a:ln>
            </c:spPr>
          </c:dPt>
          <c:dLbls>
            <c:numFmt formatCode="0%" sourceLinked="1"/>
            <c:dLbl>
              <c:idx val="0"/>
              <c:numFmt formatCode="0%" sourceLinked="1"/>
              <c:txPr>
                <a:bodyPr wrap="square"/>
                <a:lstStyle/>
                <a:p>
                  <a:pPr>
                    <a:defRPr b="0" sz="1000" spc="-1" strike="noStrike">
                      <a:solidFill>
                        <a:srgbClr val="000000"/>
                      </a:solidFill>
                      <a:latin typeface="Calibri"/>
                    </a:defRPr>
                  </a:pPr>
                </a:p>
              </c:txPr>
              <c:showLegendKey val="0"/>
              <c:showVal val="1"/>
              <c:showCatName val="0"/>
              <c:showSerName val="0"/>
              <c:showPercent val="0"/>
              <c:separator>; </c:separator>
            </c:dLbl>
            <c:dLbl>
              <c:idx val="1"/>
              <c:numFmt formatCode="0%" sourceLinked="1"/>
              <c:txPr>
                <a:bodyPr wrap="square"/>
                <a:lstStyle/>
                <a:p>
                  <a:pPr>
                    <a:defRPr b="0" sz="1000" spc="-1" strike="noStrike">
                      <a:solidFill>
                        <a:srgbClr val="000000"/>
                      </a:solidFill>
                      <a:latin typeface="Calibri"/>
                    </a:defRPr>
                  </a:pPr>
                </a:p>
              </c:txPr>
              <c:showLegendKey val="0"/>
              <c:showVal val="1"/>
              <c:showCatName val="0"/>
              <c:showSerName val="0"/>
              <c:showPercent val="0"/>
              <c:separator>; </c:separator>
            </c:dLbl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Calibri"/>
                  </a:defRPr>
                </a:pPr>
              </a:p>
            </c:txPr>
            <c:showLegendKey val="0"/>
            <c:showVal val="1"/>
            <c:showCatName val="0"/>
            <c:showSerName val="0"/>
            <c:showPercent val="0"/>
            <c:separator>; </c:separator>
            <c:showLeaderLines val="1"/>
          </c:dLbls>
          <c:cat>
            <c:strRef>
              <c:f>Acompanhamento!$O$357:$O$358</c:f>
              <c:strCache>
                <c:ptCount val="2"/>
                <c:pt idx="0">
                  <c:v>Concluído</c:v>
                </c:pt>
                <c:pt idx="1">
                  <c:v>Falta</c:v>
                </c:pt>
              </c:strCache>
            </c:strRef>
          </c:cat>
          <c:val>
            <c:numRef>
              <c:f>Acompanhamento!$P$357:$P$358</c:f>
              <c:numCache>
                <c:formatCode>0%</c:formatCode>
                <c:ptCount val="2"/>
                <c:pt idx="0">
                  <c:v>0</c:v>
                </c:pt>
                <c:pt idx="1">
                  <c:v>1</c:v>
                </c:pt>
              </c:numCache>
            </c:numRef>
          </c:val>
        </c:ser>
        <c:firstSliceAng val="0"/>
        <c:holeSize val="50"/>
      </c:doughnutChart>
      <c:spPr>
        <a:noFill/>
        <a:ln w="0">
          <a:noFill/>
        </a:ln>
      </c:spPr>
    </c:plotArea>
    <c:legend>
      <c:legendPos val="b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25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Progresso geral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doughnutChart>
        <c:varyColors val="1"/>
        <c:ser>
          <c:idx val="0"/>
          <c:order val="0"/>
          <c:spPr>
            <a:solidFill>
              <a:srgbClr val="4f81bd"/>
            </a:solidFill>
            <a:ln w="0">
              <a:noFill/>
            </a:ln>
          </c:spPr>
          <c:explosion val="0"/>
          <c:dPt>
            <c:idx val="0"/>
            <c:spPr>
              <a:solidFill>
                <a:srgbClr val="2e75b6"/>
              </a:solidFill>
              <a:ln w="0">
                <a:noFill/>
              </a:ln>
            </c:spPr>
          </c:dPt>
          <c:dPt>
            <c:idx val="1"/>
            <c:spPr>
              <a:solidFill>
                <a:srgbClr val="d9d9d9"/>
              </a:solidFill>
              <a:ln w="0">
                <a:noFill/>
              </a:ln>
            </c:spPr>
          </c:dPt>
          <c:dLbls>
            <c:numFmt formatCode="0%" sourceLinked="1"/>
            <c:dLbl>
              <c:idx val="0"/>
              <c:numFmt formatCode="0%" sourceLinked="1"/>
              <c:txPr>
                <a:bodyPr wrap="square"/>
                <a:lstStyle/>
                <a:p>
                  <a:pPr>
                    <a:defRPr b="0" sz="1000" spc="-1" strike="noStrike">
                      <a:solidFill>
                        <a:srgbClr val="000000"/>
                      </a:solidFill>
                      <a:latin typeface="Calibri"/>
                    </a:defRPr>
                  </a:pPr>
                </a:p>
              </c:txPr>
              <c:showLegendKey val="0"/>
              <c:showVal val="1"/>
              <c:showCatName val="0"/>
              <c:showSerName val="0"/>
              <c:showPercent val="0"/>
              <c:separator>; </c:separator>
            </c:dLbl>
            <c:dLbl>
              <c:idx val="1"/>
              <c:numFmt formatCode="0%" sourceLinked="1"/>
              <c:txPr>
                <a:bodyPr wrap="square"/>
                <a:lstStyle/>
                <a:p>
                  <a:pPr>
                    <a:defRPr b="0" sz="1000" spc="-1" strike="noStrike">
                      <a:solidFill>
                        <a:srgbClr val="000000"/>
                      </a:solidFill>
                      <a:latin typeface="Calibri"/>
                    </a:defRPr>
                  </a:pPr>
                </a:p>
              </c:txPr>
              <c:showLegendKey val="0"/>
              <c:showVal val="1"/>
              <c:showCatName val="0"/>
              <c:showSerName val="0"/>
              <c:showPercent val="0"/>
              <c:separator>; </c:separator>
            </c:dLbl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Calibri"/>
                  </a:defRPr>
                </a:pPr>
              </a:p>
            </c:txPr>
            <c:showLegendKey val="0"/>
            <c:showVal val="1"/>
            <c:showCatName val="0"/>
            <c:showSerName val="0"/>
            <c:showPercent val="0"/>
            <c:separator>; </c:separator>
            <c:showLeaderLines val="1"/>
          </c:dLbls>
          <c:cat>
            <c:strRef>
              <c:f>Acompanhamento!$O$377:$O$378</c:f>
              <c:strCache>
                <c:ptCount val="2"/>
                <c:pt idx="0">
                  <c:v>Concluído</c:v>
                </c:pt>
                <c:pt idx="1">
                  <c:v>Falta</c:v>
                </c:pt>
              </c:strCache>
            </c:strRef>
          </c:cat>
          <c:val>
            <c:numRef>
              <c:f>Acompanhamento!$P$377:$P$378</c:f>
              <c:numCache>
                <c:formatCode>0%</c:formatCode>
                <c:ptCount val="2"/>
                <c:pt idx="0">
                  <c:v>0.131578947368421</c:v>
                </c:pt>
                <c:pt idx="1">
                  <c:v>0.868421052631579</c:v>
                </c:pt>
              </c:numCache>
            </c:numRef>
          </c:val>
        </c:ser>
        <c:firstSliceAng val="0"/>
        <c:holeSize val="50"/>
      </c:doughnutChart>
      <c:spPr>
        <a:noFill/>
        <a:ln w="0">
          <a:noFill/>
        </a:ln>
      </c:spPr>
    </c:plotArea>
    <c:legend>
      <c:legendPos val="b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26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Progresso por etapa: pelas tarefas x unidades concluídas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bar"/>
        <c:grouping val="clustered"/>
        <c:varyColors val="0"/>
        <c:ser>
          <c:idx val="0"/>
          <c:order val="0"/>
          <c:tx>
            <c:strRef>
              <c:f>"Pelas tarefas"</c:f>
              <c:strCache>
                <c:ptCount val="1"/>
                <c:pt idx="0">
                  <c:v>Pelas tarefas</c:v>
                </c:pt>
              </c:strCache>
            </c:strRef>
          </c:tx>
          <c:spPr>
            <a:solidFill>
              <a:srgbClr val="2e75b6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Acompanhamento!$A$390:$A$413</c:f>
              <c:strCache>
                <c:ptCount val="24"/>
                <c:pt idx="0">
                  <c:v>3. Montagem do Suporte de Manutenção</c:v>
                </c:pt>
                <c:pt idx="1">
                  <c:v>4. Alinhamento da estrutura do SoBot</c:v>
                </c:pt>
                <c:pt idx="2">
                  <c:v>5. Pontos de Aterramento</c:v>
                </c:pt>
                <c:pt idx="3">
                  <c:v>6. Instalação dos Mancais e Eixos</c:v>
                </c:pt>
                <c:pt idx="4">
                  <c:v>7. Instalação dos Motores, Polias e Correias</c:v>
                </c:pt>
                <c:pt idx="5">
                  <c:v>8. Instalação da Caixa de Som e Suporte Lateral</c:v>
                </c:pt>
                <c:pt idx="6">
                  <c:v>9. Montagem do Rodízio e Perfil</c:v>
                </c:pt>
                <c:pt idx="7">
                  <c:v>10. Montagem dos Suportes Ultrassônicos</c:v>
                </c:pt>
                <c:pt idx="8">
                  <c:v>11. Montagem Fita LED</c:v>
                </c:pt>
                <c:pt idx="9">
                  <c:v>12. Montagem Cooler PCI de Controle</c:v>
                </c:pt>
                <c:pt idx="10">
                  <c:v>13. Instalação PCI de Controle</c:v>
                </c:pt>
                <c:pt idx="11">
                  <c:v>14. Instalação Cooler e Raspberry</c:v>
                </c:pt>
                <c:pt idx="12">
                  <c:v>15. Fixação dos Perfis de Alumínio</c:v>
                </c:pt>
                <c:pt idx="13">
                  <c:v>16. Montagem dos Chassis</c:v>
                </c:pt>
                <c:pt idx="14">
                  <c:v>17. Fixação da Carenagem Superior</c:v>
                </c:pt>
                <c:pt idx="15">
                  <c:v>18. Ligações Elétricas</c:v>
                </c:pt>
                <c:pt idx="16">
                  <c:v>19. Montagem dos Itens Elétricos na Carenagem...</c:v>
                </c:pt>
                <c:pt idx="17">
                  <c:v>20. Montagem dos Sensores na Carenagem Infer...</c:v>
                </c:pt>
                <c:pt idx="18">
                  <c:v>21. Montagem da Carenagem Inferior</c:v>
                </c:pt>
                <c:pt idx="19">
                  <c:v>22. Alinhamento do Robô</c:v>
                </c:pt>
                <c:pt idx="20">
                  <c:v>23. Fixação das Rodas OFF-Road</c:v>
                </c:pt>
                <c:pt idx="21">
                  <c:v>24. Fixação do Conector de Alimentação Externa</c:v>
                </c:pt>
                <c:pt idx="22">
                  <c:v>25. Fixação da Tampa Superior</c:v>
                </c:pt>
                <c:pt idx="23">
                  <c:v>26. Acessórios Single</c:v>
                </c:pt>
              </c:strCache>
            </c:strRef>
          </c:cat>
          <c:val>
            <c:numRef>
              <c:f>Acompanhamento!$E$390:$E$413</c:f>
              <c:numCache>
                <c:formatCode>0.0%</c:formatCode>
                <c:ptCount val="24"/>
                <c:pt idx="0">
                  <c:v>0.192307692307692</c:v>
                </c:pt>
                <c:pt idx="1">
                  <c:v>0</c:v>
                </c:pt>
                <c:pt idx="2">
                  <c:v>1</c:v>
                </c:pt>
                <c:pt idx="3">
                  <c:v>0.6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</c:numCache>
            </c:numRef>
          </c:val>
        </c:ser>
        <c:ser>
          <c:idx val="1"/>
          <c:order val="1"/>
          <c:tx>
            <c:strRef>
              <c:f>"Unidades concluídas ÷ previstas"</c:f>
              <c:strCache>
                <c:ptCount val="1"/>
                <c:pt idx="0">
                  <c:v>Unidades concluídas ÷ previstas</c:v>
                </c:pt>
              </c:strCache>
            </c:strRef>
          </c:tx>
          <c:spPr>
            <a:solidFill>
              <a:srgbClr val="f4b183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Acompanhamento!$A$390:$A$413</c:f>
              <c:strCache>
                <c:ptCount val="24"/>
                <c:pt idx="0">
                  <c:v>3. Montagem do Suporte de Manutenção</c:v>
                </c:pt>
                <c:pt idx="1">
                  <c:v>4. Alinhamento da estrutura do SoBot</c:v>
                </c:pt>
                <c:pt idx="2">
                  <c:v>5. Pontos de Aterramento</c:v>
                </c:pt>
                <c:pt idx="3">
                  <c:v>6. Instalação dos Mancais e Eixos</c:v>
                </c:pt>
                <c:pt idx="4">
                  <c:v>7. Instalação dos Motores, Polias e Correias</c:v>
                </c:pt>
                <c:pt idx="5">
                  <c:v>8. Instalação da Caixa de Som e Suporte Lateral</c:v>
                </c:pt>
                <c:pt idx="6">
                  <c:v>9. Montagem do Rodízio e Perfil</c:v>
                </c:pt>
                <c:pt idx="7">
                  <c:v>10. Montagem dos Suportes Ultrassônicos</c:v>
                </c:pt>
                <c:pt idx="8">
                  <c:v>11. Montagem Fita LED</c:v>
                </c:pt>
                <c:pt idx="9">
                  <c:v>12. Montagem Cooler PCI de Controle</c:v>
                </c:pt>
                <c:pt idx="10">
                  <c:v>13. Instalação PCI de Controle</c:v>
                </c:pt>
                <c:pt idx="11">
                  <c:v>14. Instalação Cooler e Raspberry</c:v>
                </c:pt>
                <c:pt idx="12">
                  <c:v>15. Fixação dos Perfis de Alumínio</c:v>
                </c:pt>
                <c:pt idx="13">
                  <c:v>16. Montagem dos Chassis</c:v>
                </c:pt>
                <c:pt idx="14">
                  <c:v>17. Fixação da Carenagem Superior</c:v>
                </c:pt>
                <c:pt idx="15">
                  <c:v>18. Ligações Elétricas</c:v>
                </c:pt>
                <c:pt idx="16">
                  <c:v>19. Montagem dos Itens Elétricos na Carenagem...</c:v>
                </c:pt>
                <c:pt idx="17">
                  <c:v>20. Montagem dos Sensores na Carenagem Infer...</c:v>
                </c:pt>
                <c:pt idx="18">
                  <c:v>21. Montagem da Carenagem Inferior</c:v>
                </c:pt>
                <c:pt idx="19">
                  <c:v>22. Alinhamento do Robô</c:v>
                </c:pt>
                <c:pt idx="20">
                  <c:v>23. Fixação das Rodas OFF-Road</c:v>
                </c:pt>
                <c:pt idx="21">
                  <c:v>24. Fixação do Conector de Alimentação Externa</c:v>
                </c:pt>
                <c:pt idx="22">
                  <c:v>25. Fixação da Tampa Superior</c:v>
                </c:pt>
                <c:pt idx="23">
                  <c:v>26. Acessórios Single</c:v>
                </c:pt>
              </c:strCache>
            </c:strRef>
          </c:cat>
          <c:val>
            <c:numRef>
              <c:f>Acompanhamento!$E$419:$E$442</c:f>
              <c:numCache>
                <c:formatCode>0.0%</c:formatCode>
                <c:ptCount val="24"/>
                <c:pt idx="0">
                  <c:v>0.1</c:v>
                </c:pt>
                <c:pt idx="1">
                  <c:v>0</c:v>
                </c:pt>
                <c:pt idx="2">
                  <c:v>1</c:v>
                </c:pt>
                <c:pt idx="3">
                  <c:v>0.4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</c:numCache>
            </c:numRef>
          </c:val>
        </c:ser>
        <c:gapWidth val="60"/>
        <c:overlap val="0"/>
        <c:axId val="49297620"/>
        <c:axId val="23167446"/>
      </c:barChart>
      <c:catAx>
        <c:axId val="49297620"/>
        <c:scaling>
          <c:orientation val="maxMin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23167446"/>
        <c:crosses val="autoZero"/>
        <c:auto val="1"/>
        <c:lblAlgn val="ctr"/>
        <c:lblOffset val="100"/>
        <c:noMultiLvlLbl val="0"/>
      </c:catAx>
      <c:valAx>
        <c:axId val="23167446"/>
        <c:scaling>
          <c:orientation val="minMax"/>
          <c:max val="1"/>
          <c:min val="0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0%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49297620"/>
        <c:crosses val="autoZero"/>
        <c:crossBetween val="between"/>
      </c:valAx>
      <c:spPr>
        <a:noFill/>
        <a:ln w="0">
          <a:noFill/>
        </a:ln>
      </c:spPr>
    </c:plotArea>
    <c:legend>
      <c:legendPos val="b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drawings/_rels/drawing1.xml.rels><?xml version="1.0" encoding="UTF-8"?>
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<Relationship Id="rId3" Type="http://schemas.openxmlformats.org/officeDocument/2006/relationships/chart" Target="../charts/chart3.xml"/><Relationship Id="rId4" Type="http://schemas.openxmlformats.org/officeDocument/2006/relationships/chart" Target="../charts/chart4.xml"/><Relationship Id="rId5" Type="http://schemas.openxmlformats.org/officeDocument/2006/relationships/chart" Target="../charts/chart5.xml"/><Relationship Id="rId6" Type="http://schemas.openxmlformats.org/officeDocument/2006/relationships/chart" Target="../charts/chart6.xml"/><Relationship Id="rId7" Type="http://schemas.openxmlformats.org/officeDocument/2006/relationships/chart" Target="../charts/chart7.xml"/><Relationship Id="rId8" Type="http://schemas.openxmlformats.org/officeDocument/2006/relationships/chart" Target="../charts/chart8.xml"/><Relationship Id="rId9" Type="http://schemas.openxmlformats.org/officeDocument/2006/relationships/chart" Target="../charts/chart9.xml"/><Relationship Id="rId10" Type="http://schemas.openxmlformats.org/officeDocument/2006/relationships/chart" Target="../charts/chart10.xml"/><Relationship Id="rId11" Type="http://schemas.openxmlformats.org/officeDocument/2006/relationships/chart" Target="../charts/chart11.xml"/><Relationship Id="rId12" Type="http://schemas.openxmlformats.org/officeDocument/2006/relationships/chart" Target="../charts/chart12.xml"/><Relationship Id="rId13" Type="http://schemas.openxmlformats.org/officeDocument/2006/relationships/chart" Target="../charts/chart13.xml"/><Relationship Id="rId14" Type="http://schemas.openxmlformats.org/officeDocument/2006/relationships/chart" Target="../charts/chart14.xml"/><Relationship Id="rId15" Type="http://schemas.openxmlformats.org/officeDocument/2006/relationships/chart" Target="../charts/chart15.xml"/><Relationship Id="rId16" Type="http://schemas.openxmlformats.org/officeDocument/2006/relationships/chart" Target="../charts/chart16.xml"/><Relationship Id="rId17" Type="http://schemas.openxmlformats.org/officeDocument/2006/relationships/chart" Target="../charts/chart17.xml"/><Relationship Id="rId18" Type="http://schemas.openxmlformats.org/officeDocument/2006/relationships/chart" Target="../charts/chart18.xml"/><Relationship Id="rId19" Type="http://schemas.openxmlformats.org/officeDocument/2006/relationships/chart" Target="../charts/chart19.xml"/><Relationship Id="rId20" Type="http://schemas.openxmlformats.org/officeDocument/2006/relationships/chart" Target="../charts/chart20.xml"/><Relationship Id="rId21" Type="http://schemas.openxmlformats.org/officeDocument/2006/relationships/chart" Target="../charts/chart21.xml"/><Relationship Id="rId22" Type="http://schemas.openxmlformats.org/officeDocument/2006/relationships/chart" Target="../charts/chart22.xml"/><Relationship Id="rId23" Type="http://schemas.openxmlformats.org/officeDocument/2006/relationships/chart" Target="../charts/chart23.xml"/><Relationship Id="rId24" Type="http://schemas.openxmlformats.org/officeDocument/2006/relationships/chart" Target="../charts/chart24.xml"/><Relationship Id="rId25" Type="http://schemas.openxmlformats.org/officeDocument/2006/relationships/chart" Target="../charts/chart25.xml"/><Relationship Id="rId26" Type="http://schemas.openxmlformats.org/officeDocument/2006/relationships/chart" Target="../charts/chart26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7</xdr:col>
      <xdr:colOff>108000</xdr:colOff>
      <xdr:row>10</xdr:row>
      <xdr:rowOff>131040</xdr:rowOff>
    </xdr:from>
    <xdr:to>
      <xdr:col>11</xdr:col>
      <xdr:colOff>109800</xdr:colOff>
      <xdr:row>18</xdr:row>
      <xdr:rowOff>155880</xdr:rowOff>
    </xdr:to>
    <xdr:graphicFrame>
      <xdr:nvGraphicFramePr>
        <xdr:cNvPr id="0" name="Chart 1"/>
        <xdr:cNvGraphicFramePr/>
      </xdr:nvGraphicFramePr>
      <xdr:xfrm>
        <a:off x="10046520" y="2095560"/>
        <a:ext cx="2447640" cy="2015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7</xdr:col>
      <xdr:colOff>108000</xdr:colOff>
      <xdr:row>25</xdr:row>
      <xdr:rowOff>131040</xdr:rowOff>
    </xdr:from>
    <xdr:to>
      <xdr:col>11</xdr:col>
      <xdr:colOff>109800</xdr:colOff>
      <xdr:row>33</xdr:row>
      <xdr:rowOff>155880</xdr:rowOff>
    </xdr:to>
    <xdr:graphicFrame>
      <xdr:nvGraphicFramePr>
        <xdr:cNvPr id="1" name="Chart 2"/>
        <xdr:cNvGraphicFramePr/>
      </xdr:nvGraphicFramePr>
      <xdr:xfrm>
        <a:off x="10046520" y="5419800"/>
        <a:ext cx="2447640" cy="2015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oneCell">
    <xdr:from>
      <xdr:col>7</xdr:col>
      <xdr:colOff>108000</xdr:colOff>
      <xdr:row>40</xdr:row>
      <xdr:rowOff>131040</xdr:rowOff>
    </xdr:from>
    <xdr:to>
      <xdr:col>11</xdr:col>
      <xdr:colOff>109800</xdr:colOff>
      <xdr:row>48</xdr:row>
      <xdr:rowOff>155880</xdr:rowOff>
    </xdr:to>
    <xdr:graphicFrame>
      <xdr:nvGraphicFramePr>
        <xdr:cNvPr id="2" name="Chart 3"/>
        <xdr:cNvGraphicFramePr/>
      </xdr:nvGraphicFramePr>
      <xdr:xfrm>
        <a:off x="10046520" y="8744040"/>
        <a:ext cx="2447640" cy="2015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 editAs="oneCell">
    <xdr:from>
      <xdr:col>7</xdr:col>
      <xdr:colOff>108000</xdr:colOff>
      <xdr:row>55</xdr:row>
      <xdr:rowOff>131040</xdr:rowOff>
    </xdr:from>
    <xdr:to>
      <xdr:col>11</xdr:col>
      <xdr:colOff>109800</xdr:colOff>
      <xdr:row>63</xdr:row>
      <xdr:rowOff>155880</xdr:rowOff>
    </xdr:to>
    <xdr:graphicFrame>
      <xdr:nvGraphicFramePr>
        <xdr:cNvPr id="3" name="Chart 4"/>
        <xdr:cNvGraphicFramePr/>
      </xdr:nvGraphicFramePr>
      <xdr:xfrm>
        <a:off x="10046520" y="12068280"/>
        <a:ext cx="2447640" cy="2015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 editAs="oneCell">
    <xdr:from>
      <xdr:col>7</xdr:col>
      <xdr:colOff>108000</xdr:colOff>
      <xdr:row>70</xdr:row>
      <xdr:rowOff>131040</xdr:rowOff>
    </xdr:from>
    <xdr:to>
      <xdr:col>11</xdr:col>
      <xdr:colOff>109800</xdr:colOff>
      <xdr:row>78</xdr:row>
      <xdr:rowOff>155880</xdr:rowOff>
    </xdr:to>
    <xdr:graphicFrame>
      <xdr:nvGraphicFramePr>
        <xdr:cNvPr id="4" name="Chart 5"/>
        <xdr:cNvGraphicFramePr/>
      </xdr:nvGraphicFramePr>
      <xdr:xfrm>
        <a:off x="10046520" y="15392520"/>
        <a:ext cx="2447640" cy="2015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 editAs="oneCell">
    <xdr:from>
      <xdr:col>7</xdr:col>
      <xdr:colOff>108000</xdr:colOff>
      <xdr:row>85</xdr:row>
      <xdr:rowOff>131040</xdr:rowOff>
    </xdr:from>
    <xdr:to>
      <xdr:col>11</xdr:col>
      <xdr:colOff>109800</xdr:colOff>
      <xdr:row>93</xdr:row>
      <xdr:rowOff>155880</xdr:rowOff>
    </xdr:to>
    <xdr:graphicFrame>
      <xdr:nvGraphicFramePr>
        <xdr:cNvPr id="5" name="Chart 6"/>
        <xdr:cNvGraphicFramePr/>
      </xdr:nvGraphicFramePr>
      <xdr:xfrm>
        <a:off x="10046520" y="18716760"/>
        <a:ext cx="2447640" cy="2015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 editAs="oneCell">
    <xdr:from>
      <xdr:col>7</xdr:col>
      <xdr:colOff>108000</xdr:colOff>
      <xdr:row>100</xdr:row>
      <xdr:rowOff>131040</xdr:rowOff>
    </xdr:from>
    <xdr:to>
      <xdr:col>11</xdr:col>
      <xdr:colOff>109800</xdr:colOff>
      <xdr:row>108</xdr:row>
      <xdr:rowOff>155880</xdr:rowOff>
    </xdr:to>
    <xdr:graphicFrame>
      <xdr:nvGraphicFramePr>
        <xdr:cNvPr id="6" name="Chart 7"/>
        <xdr:cNvGraphicFramePr/>
      </xdr:nvGraphicFramePr>
      <xdr:xfrm>
        <a:off x="10046520" y="22041000"/>
        <a:ext cx="2447640" cy="2015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 editAs="oneCell">
    <xdr:from>
      <xdr:col>7</xdr:col>
      <xdr:colOff>108000</xdr:colOff>
      <xdr:row>115</xdr:row>
      <xdr:rowOff>131040</xdr:rowOff>
    </xdr:from>
    <xdr:to>
      <xdr:col>11</xdr:col>
      <xdr:colOff>109800</xdr:colOff>
      <xdr:row>123</xdr:row>
      <xdr:rowOff>155880</xdr:rowOff>
    </xdr:to>
    <xdr:graphicFrame>
      <xdr:nvGraphicFramePr>
        <xdr:cNvPr id="7" name="Chart 8"/>
        <xdr:cNvGraphicFramePr/>
      </xdr:nvGraphicFramePr>
      <xdr:xfrm>
        <a:off x="10046520" y="25365240"/>
        <a:ext cx="2447640" cy="2015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 editAs="oneCell">
    <xdr:from>
      <xdr:col>7</xdr:col>
      <xdr:colOff>108000</xdr:colOff>
      <xdr:row>130</xdr:row>
      <xdr:rowOff>131040</xdr:rowOff>
    </xdr:from>
    <xdr:to>
      <xdr:col>11</xdr:col>
      <xdr:colOff>109800</xdr:colOff>
      <xdr:row>138</xdr:row>
      <xdr:rowOff>155880</xdr:rowOff>
    </xdr:to>
    <xdr:graphicFrame>
      <xdr:nvGraphicFramePr>
        <xdr:cNvPr id="8" name="Chart 9"/>
        <xdr:cNvGraphicFramePr/>
      </xdr:nvGraphicFramePr>
      <xdr:xfrm>
        <a:off x="10046520" y="28689480"/>
        <a:ext cx="2447640" cy="2015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twoCellAnchor>
  <xdr:twoCellAnchor editAs="oneCell">
    <xdr:from>
      <xdr:col>7</xdr:col>
      <xdr:colOff>108000</xdr:colOff>
      <xdr:row>145</xdr:row>
      <xdr:rowOff>130680</xdr:rowOff>
    </xdr:from>
    <xdr:to>
      <xdr:col>11</xdr:col>
      <xdr:colOff>109800</xdr:colOff>
      <xdr:row>153</xdr:row>
      <xdr:rowOff>155520</xdr:rowOff>
    </xdr:to>
    <xdr:graphicFrame>
      <xdr:nvGraphicFramePr>
        <xdr:cNvPr id="9" name="Chart 10"/>
        <xdr:cNvGraphicFramePr/>
      </xdr:nvGraphicFramePr>
      <xdr:xfrm>
        <a:off x="10046520" y="32013360"/>
        <a:ext cx="2447640" cy="2015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0"/>
        </a:graphicData>
      </a:graphic>
    </xdr:graphicFrame>
    <xdr:clientData/>
  </xdr:twoCellAnchor>
  <xdr:twoCellAnchor editAs="oneCell">
    <xdr:from>
      <xdr:col>7</xdr:col>
      <xdr:colOff>108000</xdr:colOff>
      <xdr:row>160</xdr:row>
      <xdr:rowOff>130680</xdr:rowOff>
    </xdr:from>
    <xdr:to>
      <xdr:col>11</xdr:col>
      <xdr:colOff>109800</xdr:colOff>
      <xdr:row>168</xdr:row>
      <xdr:rowOff>155520</xdr:rowOff>
    </xdr:to>
    <xdr:graphicFrame>
      <xdr:nvGraphicFramePr>
        <xdr:cNvPr id="10" name="Chart 11"/>
        <xdr:cNvGraphicFramePr/>
      </xdr:nvGraphicFramePr>
      <xdr:xfrm>
        <a:off x="10046520" y="35337600"/>
        <a:ext cx="2447640" cy="2015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1"/>
        </a:graphicData>
      </a:graphic>
    </xdr:graphicFrame>
    <xdr:clientData/>
  </xdr:twoCellAnchor>
  <xdr:twoCellAnchor editAs="oneCell">
    <xdr:from>
      <xdr:col>7</xdr:col>
      <xdr:colOff>108000</xdr:colOff>
      <xdr:row>175</xdr:row>
      <xdr:rowOff>130680</xdr:rowOff>
    </xdr:from>
    <xdr:to>
      <xdr:col>11</xdr:col>
      <xdr:colOff>109800</xdr:colOff>
      <xdr:row>183</xdr:row>
      <xdr:rowOff>155520</xdr:rowOff>
    </xdr:to>
    <xdr:graphicFrame>
      <xdr:nvGraphicFramePr>
        <xdr:cNvPr id="11" name="Chart 12"/>
        <xdr:cNvGraphicFramePr/>
      </xdr:nvGraphicFramePr>
      <xdr:xfrm>
        <a:off x="10046520" y="38661840"/>
        <a:ext cx="2447640" cy="2015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2"/>
        </a:graphicData>
      </a:graphic>
    </xdr:graphicFrame>
    <xdr:clientData/>
  </xdr:twoCellAnchor>
  <xdr:twoCellAnchor editAs="oneCell">
    <xdr:from>
      <xdr:col>7</xdr:col>
      <xdr:colOff>108000</xdr:colOff>
      <xdr:row>190</xdr:row>
      <xdr:rowOff>130680</xdr:rowOff>
    </xdr:from>
    <xdr:to>
      <xdr:col>11</xdr:col>
      <xdr:colOff>109800</xdr:colOff>
      <xdr:row>198</xdr:row>
      <xdr:rowOff>155520</xdr:rowOff>
    </xdr:to>
    <xdr:graphicFrame>
      <xdr:nvGraphicFramePr>
        <xdr:cNvPr id="12" name="Chart 13"/>
        <xdr:cNvGraphicFramePr/>
      </xdr:nvGraphicFramePr>
      <xdr:xfrm>
        <a:off x="10046520" y="41986080"/>
        <a:ext cx="2447640" cy="2015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3"/>
        </a:graphicData>
      </a:graphic>
    </xdr:graphicFrame>
    <xdr:clientData/>
  </xdr:twoCellAnchor>
  <xdr:twoCellAnchor editAs="oneCell">
    <xdr:from>
      <xdr:col>7</xdr:col>
      <xdr:colOff>108000</xdr:colOff>
      <xdr:row>205</xdr:row>
      <xdr:rowOff>130680</xdr:rowOff>
    </xdr:from>
    <xdr:to>
      <xdr:col>11</xdr:col>
      <xdr:colOff>109800</xdr:colOff>
      <xdr:row>213</xdr:row>
      <xdr:rowOff>155520</xdr:rowOff>
    </xdr:to>
    <xdr:graphicFrame>
      <xdr:nvGraphicFramePr>
        <xdr:cNvPr id="13" name="Chart 14"/>
        <xdr:cNvGraphicFramePr/>
      </xdr:nvGraphicFramePr>
      <xdr:xfrm>
        <a:off x="10046520" y="45310320"/>
        <a:ext cx="2447640" cy="2015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4"/>
        </a:graphicData>
      </a:graphic>
    </xdr:graphicFrame>
    <xdr:clientData/>
  </xdr:twoCellAnchor>
  <xdr:twoCellAnchor editAs="oneCell">
    <xdr:from>
      <xdr:col>7</xdr:col>
      <xdr:colOff>108000</xdr:colOff>
      <xdr:row>220</xdr:row>
      <xdr:rowOff>130680</xdr:rowOff>
    </xdr:from>
    <xdr:to>
      <xdr:col>11</xdr:col>
      <xdr:colOff>109800</xdr:colOff>
      <xdr:row>228</xdr:row>
      <xdr:rowOff>155520</xdr:rowOff>
    </xdr:to>
    <xdr:graphicFrame>
      <xdr:nvGraphicFramePr>
        <xdr:cNvPr id="14" name="Chart 15"/>
        <xdr:cNvGraphicFramePr/>
      </xdr:nvGraphicFramePr>
      <xdr:xfrm>
        <a:off x="10046520" y="48634560"/>
        <a:ext cx="2447640" cy="2015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5"/>
        </a:graphicData>
      </a:graphic>
    </xdr:graphicFrame>
    <xdr:clientData/>
  </xdr:twoCellAnchor>
  <xdr:twoCellAnchor editAs="oneCell">
    <xdr:from>
      <xdr:col>7</xdr:col>
      <xdr:colOff>108000</xdr:colOff>
      <xdr:row>235</xdr:row>
      <xdr:rowOff>130680</xdr:rowOff>
    </xdr:from>
    <xdr:to>
      <xdr:col>11</xdr:col>
      <xdr:colOff>109800</xdr:colOff>
      <xdr:row>243</xdr:row>
      <xdr:rowOff>155520</xdr:rowOff>
    </xdr:to>
    <xdr:graphicFrame>
      <xdr:nvGraphicFramePr>
        <xdr:cNvPr id="15" name="Chart 16"/>
        <xdr:cNvGraphicFramePr/>
      </xdr:nvGraphicFramePr>
      <xdr:xfrm>
        <a:off x="10046520" y="51958800"/>
        <a:ext cx="2447640" cy="2015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6"/>
        </a:graphicData>
      </a:graphic>
    </xdr:graphicFrame>
    <xdr:clientData/>
  </xdr:twoCellAnchor>
  <xdr:twoCellAnchor editAs="oneCell">
    <xdr:from>
      <xdr:col>7</xdr:col>
      <xdr:colOff>108000</xdr:colOff>
      <xdr:row>250</xdr:row>
      <xdr:rowOff>130680</xdr:rowOff>
    </xdr:from>
    <xdr:to>
      <xdr:col>11</xdr:col>
      <xdr:colOff>109800</xdr:colOff>
      <xdr:row>258</xdr:row>
      <xdr:rowOff>155520</xdr:rowOff>
    </xdr:to>
    <xdr:graphicFrame>
      <xdr:nvGraphicFramePr>
        <xdr:cNvPr id="16" name="Chart 17"/>
        <xdr:cNvGraphicFramePr/>
      </xdr:nvGraphicFramePr>
      <xdr:xfrm>
        <a:off x="10046520" y="55283040"/>
        <a:ext cx="2447640" cy="2015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7"/>
        </a:graphicData>
      </a:graphic>
    </xdr:graphicFrame>
    <xdr:clientData/>
  </xdr:twoCellAnchor>
  <xdr:twoCellAnchor editAs="oneCell">
    <xdr:from>
      <xdr:col>7</xdr:col>
      <xdr:colOff>108000</xdr:colOff>
      <xdr:row>265</xdr:row>
      <xdr:rowOff>130680</xdr:rowOff>
    </xdr:from>
    <xdr:to>
      <xdr:col>11</xdr:col>
      <xdr:colOff>109800</xdr:colOff>
      <xdr:row>273</xdr:row>
      <xdr:rowOff>155520</xdr:rowOff>
    </xdr:to>
    <xdr:graphicFrame>
      <xdr:nvGraphicFramePr>
        <xdr:cNvPr id="17" name="Chart 18"/>
        <xdr:cNvGraphicFramePr/>
      </xdr:nvGraphicFramePr>
      <xdr:xfrm>
        <a:off x="10046520" y="58607280"/>
        <a:ext cx="2447640" cy="2015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8"/>
        </a:graphicData>
      </a:graphic>
    </xdr:graphicFrame>
    <xdr:clientData/>
  </xdr:twoCellAnchor>
  <xdr:twoCellAnchor editAs="oneCell">
    <xdr:from>
      <xdr:col>7</xdr:col>
      <xdr:colOff>108000</xdr:colOff>
      <xdr:row>280</xdr:row>
      <xdr:rowOff>130680</xdr:rowOff>
    </xdr:from>
    <xdr:to>
      <xdr:col>11</xdr:col>
      <xdr:colOff>109800</xdr:colOff>
      <xdr:row>288</xdr:row>
      <xdr:rowOff>155520</xdr:rowOff>
    </xdr:to>
    <xdr:graphicFrame>
      <xdr:nvGraphicFramePr>
        <xdr:cNvPr id="18" name="Chart 19"/>
        <xdr:cNvGraphicFramePr/>
      </xdr:nvGraphicFramePr>
      <xdr:xfrm>
        <a:off x="10046520" y="61931520"/>
        <a:ext cx="2447640" cy="2015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9"/>
        </a:graphicData>
      </a:graphic>
    </xdr:graphicFrame>
    <xdr:clientData/>
  </xdr:twoCellAnchor>
  <xdr:twoCellAnchor editAs="oneCell">
    <xdr:from>
      <xdr:col>7</xdr:col>
      <xdr:colOff>108000</xdr:colOff>
      <xdr:row>295</xdr:row>
      <xdr:rowOff>130680</xdr:rowOff>
    </xdr:from>
    <xdr:to>
      <xdr:col>11</xdr:col>
      <xdr:colOff>109800</xdr:colOff>
      <xdr:row>303</xdr:row>
      <xdr:rowOff>155880</xdr:rowOff>
    </xdr:to>
    <xdr:graphicFrame>
      <xdr:nvGraphicFramePr>
        <xdr:cNvPr id="19" name="Chart 20"/>
        <xdr:cNvGraphicFramePr/>
      </xdr:nvGraphicFramePr>
      <xdr:xfrm>
        <a:off x="10046520" y="65255760"/>
        <a:ext cx="2447640" cy="2015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0"/>
        </a:graphicData>
      </a:graphic>
    </xdr:graphicFrame>
    <xdr:clientData/>
  </xdr:twoCellAnchor>
  <xdr:twoCellAnchor editAs="oneCell">
    <xdr:from>
      <xdr:col>7</xdr:col>
      <xdr:colOff>108000</xdr:colOff>
      <xdr:row>310</xdr:row>
      <xdr:rowOff>130680</xdr:rowOff>
    </xdr:from>
    <xdr:to>
      <xdr:col>11</xdr:col>
      <xdr:colOff>109800</xdr:colOff>
      <xdr:row>318</xdr:row>
      <xdr:rowOff>155880</xdr:rowOff>
    </xdr:to>
    <xdr:graphicFrame>
      <xdr:nvGraphicFramePr>
        <xdr:cNvPr id="20" name="Chart 21"/>
        <xdr:cNvGraphicFramePr/>
      </xdr:nvGraphicFramePr>
      <xdr:xfrm>
        <a:off x="10046520" y="68580000"/>
        <a:ext cx="2447640" cy="2015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1"/>
        </a:graphicData>
      </a:graphic>
    </xdr:graphicFrame>
    <xdr:clientData/>
  </xdr:twoCellAnchor>
  <xdr:twoCellAnchor editAs="oneCell">
    <xdr:from>
      <xdr:col>7</xdr:col>
      <xdr:colOff>108000</xdr:colOff>
      <xdr:row>325</xdr:row>
      <xdr:rowOff>130680</xdr:rowOff>
    </xdr:from>
    <xdr:to>
      <xdr:col>11</xdr:col>
      <xdr:colOff>109800</xdr:colOff>
      <xdr:row>333</xdr:row>
      <xdr:rowOff>155880</xdr:rowOff>
    </xdr:to>
    <xdr:graphicFrame>
      <xdr:nvGraphicFramePr>
        <xdr:cNvPr id="21" name="Chart 22"/>
        <xdr:cNvGraphicFramePr/>
      </xdr:nvGraphicFramePr>
      <xdr:xfrm>
        <a:off x="10046520" y="71904240"/>
        <a:ext cx="2447640" cy="2015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2"/>
        </a:graphicData>
      </a:graphic>
    </xdr:graphicFrame>
    <xdr:clientData/>
  </xdr:twoCellAnchor>
  <xdr:twoCellAnchor editAs="oneCell">
    <xdr:from>
      <xdr:col>7</xdr:col>
      <xdr:colOff>108000</xdr:colOff>
      <xdr:row>340</xdr:row>
      <xdr:rowOff>130680</xdr:rowOff>
    </xdr:from>
    <xdr:to>
      <xdr:col>11</xdr:col>
      <xdr:colOff>109800</xdr:colOff>
      <xdr:row>348</xdr:row>
      <xdr:rowOff>155880</xdr:rowOff>
    </xdr:to>
    <xdr:graphicFrame>
      <xdr:nvGraphicFramePr>
        <xdr:cNvPr id="22" name="Chart 23"/>
        <xdr:cNvGraphicFramePr/>
      </xdr:nvGraphicFramePr>
      <xdr:xfrm>
        <a:off x="10046520" y="75228480"/>
        <a:ext cx="2447640" cy="2015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3"/>
        </a:graphicData>
      </a:graphic>
    </xdr:graphicFrame>
    <xdr:clientData/>
  </xdr:twoCellAnchor>
  <xdr:twoCellAnchor editAs="oneCell">
    <xdr:from>
      <xdr:col>7</xdr:col>
      <xdr:colOff>108000</xdr:colOff>
      <xdr:row>355</xdr:row>
      <xdr:rowOff>130680</xdr:rowOff>
    </xdr:from>
    <xdr:to>
      <xdr:col>11</xdr:col>
      <xdr:colOff>109800</xdr:colOff>
      <xdr:row>363</xdr:row>
      <xdr:rowOff>155880</xdr:rowOff>
    </xdr:to>
    <xdr:graphicFrame>
      <xdr:nvGraphicFramePr>
        <xdr:cNvPr id="23" name="Chart 24"/>
        <xdr:cNvGraphicFramePr/>
      </xdr:nvGraphicFramePr>
      <xdr:xfrm>
        <a:off x="10046520" y="78552720"/>
        <a:ext cx="2447640" cy="2015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4"/>
        </a:graphicData>
      </a:graphic>
    </xdr:graphicFrame>
    <xdr:clientData/>
  </xdr:twoCellAnchor>
  <xdr:twoCellAnchor editAs="oneCell">
    <xdr:from>
      <xdr:col>5</xdr:col>
      <xdr:colOff>108000</xdr:colOff>
      <xdr:row>373</xdr:row>
      <xdr:rowOff>131040</xdr:rowOff>
    </xdr:from>
    <xdr:to>
      <xdr:col>7</xdr:col>
      <xdr:colOff>229680</xdr:colOff>
      <xdr:row>384</xdr:row>
      <xdr:rowOff>51120</xdr:rowOff>
    </xdr:to>
    <xdr:graphicFrame>
      <xdr:nvGraphicFramePr>
        <xdr:cNvPr id="24" name="Chart 25"/>
        <xdr:cNvGraphicFramePr/>
      </xdr:nvGraphicFramePr>
      <xdr:xfrm>
        <a:off x="7720560" y="82562760"/>
        <a:ext cx="2447640" cy="2015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5"/>
        </a:graphicData>
      </a:graphic>
    </xdr:graphicFrame>
    <xdr:clientData/>
  </xdr:twoCellAnchor>
  <xdr:twoCellAnchor editAs="oneCell">
    <xdr:from>
      <xdr:col>8</xdr:col>
      <xdr:colOff>108000</xdr:colOff>
      <xdr:row>387</xdr:row>
      <xdr:rowOff>130680</xdr:rowOff>
    </xdr:from>
    <xdr:to>
      <xdr:col>18</xdr:col>
      <xdr:colOff>575280</xdr:colOff>
      <xdr:row>416</xdr:row>
      <xdr:rowOff>175320</xdr:rowOff>
    </xdr:to>
    <xdr:graphicFrame>
      <xdr:nvGraphicFramePr>
        <xdr:cNvPr id="25" name="Chart 26"/>
        <xdr:cNvGraphicFramePr/>
      </xdr:nvGraphicFramePr>
      <xdr:xfrm>
        <a:off x="10657800" y="85229640"/>
        <a:ext cx="6839640" cy="575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6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id="1" name="tblConcluidas" displayName="tblConcluidas" ref="A418:F442" headerRowCount="1" totalsRowCount="0" totalsRowShown="0">
  <autoFilter ref="A418:F442"/>
  <tableColumns count="6">
    <tableColumn id="1" name="Etapa"/>
    <tableColumn id="2" name="Feitas"/>
    <tableColumn id="3" name="Previstas"/>
    <tableColumn id="4" name="Feitas/Previstas"/>
    <tableColumn id="5" name="% concluída"/>
    <tableColumn id="6" name="Status"/>
  </tableColumns>
</table>
</file>

<file path=xl/tables/table2.xml><?xml version="1.0" encoding="utf-8"?>
<table xmlns="http://schemas.openxmlformats.org/spreadsheetml/2006/main" id="2" name="tblE03" displayName="tblE03" ref="A14:G22" headerRowCount="1" totalsRowCount="0" totalsRowShown="0">
  <autoFilter ref="A14:G22"/>
  <tableColumns count="7">
    <tableColumn id="1" name="Subatividade"/>
    <tableColumn id="2" name="Tempo ideal (min)"/>
    <tableColumn id="3" name="Peso na etapa"/>
    <tableColumn id="4" name="Peças concluídas"/>
    <tableColumn id="5" name="% concluído"/>
    <tableColumn id="6" name="Tempo total (min)"/>
    <tableColumn id="7" name="Tempo que falta (min)"/>
  </tableColumns>
</table>
</file>

<file path=xl/tables/table3.xml><?xml version="1.0" encoding="utf-8"?>
<table xmlns="http://schemas.openxmlformats.org/spreadsheetml/2006/main" id="3" name="tblE04" displayName="tblE04" ref="A29:G37" headerRowCount="1" totalsRowCount="0" totalsRowShown="0">
  <autoFilter ref="A29:G37"/>
  <tableColumns count="7">
    <tableColumn id="1" name="Subatividade"/>
    <tableColumn id="2" name="Tempo ideal (min)"/>
    <tableColumn id="3" name="Peso na etapa"/>
    <tableColumn id="4" name="Peças concluídas"/>
    <tableColumn id="5" name="% concluído"/>
    <tableColumn id="6" name="Tempo total (min)"/>
    <tableColumn id="7" name="Tempo que falta (min)"/>
  </tableColumns>
</table>
</file>

<file path=xl/tables/table4.xml><?xml version="1.0" encoding="utf-8"?>
<table xmlns="http://schemas.openxmlformats.org/spreadsheetml/2006/main" id="4" name="tblE05" displayName="tblE05" ref="A44:G52" headerRowCount="1" totalsRowCount="0" totalsRowShown="0">
  <autoFilter ref="A44:G52"/>
  <tableColumns count="7">
    <tableColumn id="1" name="Subatividade"/>
    <tableColumn id="2" name="Tempo ideal (min)"/>
    <tableColumn id="3" name="Peso na etapa"/>
    <tableColumn id="4" name="Peças concluídas"/>
    <tableColumn id="5" name="% concluído"/>
    <tableColumn id="6" name="Tempo total (min)"/>
    <tableColumn id="7" name="Tempo que falta (min)"/>
  </tableColumns>
</table>
</file>

<file path=xl/tables/table5.xml><?xml version="1.0" encoding="utf-8"?>
<table xmlns="http://schemas.openxmlformats.org/spreadsheetml/2006/main" id="5" name="tblE06" displayName="tblE06" ref="A59:G67" headerRowCount="1" totalsRowCount="0" totalsRowShown="0">
  <autoFilter ref="A59:G67"/>
  <tableColumns count="7">
    <tableColumn id="1" name="Subatividade"/>
    <tableColumn id="2" name="Tempo ideal (min)"/>
    <tableColumn id="3" name="Peso na etapa"/>
    <tableColumn id="4" name="Peças concluídas"/>
    <tableColumn id="5" name="% concluído"/>
    <tableColumn id="6" name="Tempo total (min)"/>
    <tableColumn id="7" name="Tempo que falta (min)"/>
  </tableColumns>
</table>
</file>

<file path=xl/tables/table6.xml><?xml version="1.0" encoding="utf-8"?>
<table xmlns="http://schemas.openxmlformats.org/spreadsheetml/2006/main" id="6" name="tblE07" displayName="tblE07" ref="A74:G82" headerRowCount="1" totalsRowCount="0" totalsRowShown="0">
  <autoFilter ref="A74:G82"/>
  <tableColumns count="7">
    <tableColumn id="1" name="Subatividade"/>
    <tableColumn id="2" name="Tempo ideal (min)"/>
    <tableColumn id="3" name="Peso na etapa"/>
    <tableColumn id="4" name="Peças concluídas"/>
    <tableColumn id="5" name="% concluído"/>
    <tableColumn id="6" name="Tempo total (min)"/>
    <tableColumn id="7" name="Tempo que falta (min)"/>
  </tableColumns>
</table>
</file>

<file path=xl/tables/table7.xml><?xml version="1.0" encoding="utf-8"?>
<table xmlns="http://schemas.openxmlformats.org/spreadsheetml/2006/main" id="7" name="tblE08" displayName="tblE08" ref="A89:G97" headerRowCount="1" totalsRowCount="0" totalsRowShown="0">
  <autoFilter ref="A89:G97"/>
  <tableColumns count="7">
    <tableColumn id="1" name="Subatividade"/>
    <tableColumn id="2" name="Tempo ideal (min)"/>
    <tableColumn id="3" name="Peso na etapa"/>
    <tableColumn id="4" name="Peças concluídas"/>
    <tableColumn id="5" name="% concluído"/>
    <tableColumn id="6" name="Tempo total (min)"/>
    <tableColumn id="7" name="Tempo que falta (min)"/>
  </tableColumns>
</table>
</file>

<file path=xl/tables/table8.xml><?xml version="1.0" encoding="utf-8"?>
<table xmlns="http://schemas.openxmlformats.org/spreadsheetml/2006/main" id="8" name="tblE09" displayName="tblE09" ref="A104:G112" headerRowCount="1" totalsRowCount="0" totalsRowShown="0">
  <autoFilter ref="A104:G112"/>
  <tableColumns count="7">
    <tableColumn id="1" name="Subatividade"/>
    <tableColumn id="2" name="Tempo ideal (min)"/>
    <tableColumn id="3" name="Peso na etapa"/>
    <tableColumn id="4" name="Peças concluídas"/>
    <tableColumn id="5" name="% concluído"/>
    <tableColumn id="6" name="Tempo total (min)"/>
    <tableColumn id="7" name="Tempo que falta (min)"/>
  </tableColumns>
</table>
</file>

<file path=xl/tables/table9.xml><?xml version="1.0" encoding="utf-8"?>
<table xmlns="http://schemas.openxmlformats.org/spreadsheetml/2006/main" id="9" name="tblE10" displayName="tblE10" ref="A119:G127" headerRowCount="1" totalsRowCount="0" totalsRowShown="0">
  <autoFilter ref="A119:G127"/>
  <tableColumns count="7">
    <tableColumn id="1" name="Subatividade"/>
    <tableColumn id="2" name="Tempo ideal (min)"/>
    <tableColumn id="3" name="Peso na etapa"/>
    <tableColumn id="4" name="Peças concluídas"/>
    <tableColumn id="5" name="% concluído"/>
    <tableColumn id="6" name="Tempo total (min)"/>
    <tableColumn id="7" name="Tempo que falta (min)"/>
  </tableColumns>
</table>
</file>

<file path=xl/tables/table10.xml><?xml version="1.0" encoding="utf-8"?>
<table xmlns="http://schemas.openxmlformats.org/spreadsheetml/2006/main" id="10" name="tblE11" displayName="tblE11" ref="A134:G142" headerRowCount="1" totalsRowCount="0" totalsRowShown="0">
  <autoFilter ref="A134:G142"/>
  <tableColumns count="7">
    <tableColumn id="1" name="Subatividade"/>
    <tableColumn id="2" name="Tempo ideal (min)"/>
    <tableColumn id="3" name="Peso na etapa"/>
    <tableColumn id="4" name="Peças concluídas"/>
    <tableColumn id="5" name="% concluído"/>
    <tableColumn id="6" name="Tempo total (min)"/>
    <tableColumn id="7" name="Tempo que falta (min)"/>
  </tableColumns>
</table>
</file>

<file path=xl/tables/table11.xml><?xml version="1.0" encoding="utf-8"?>
<table xmlns="http://schemas.openxmlformats.org/spreadsheetml/2006/main" id="11" name="tblE12" displayName="tblE12" ref="A149:G157" headerRowCount="1" totalsRowCount="0" totalsRowShown="0">
  <autoFilter ref="A149:G157"/>
  <tableColumns count="7">
    <tableColumn id="1" name="Subatividade"/>
    <tableColumn id="2" name="Tempo ideal (min)"/>
    <tableColumn id="3" name="Peso na etapa"/>
    <tableColumn id="4" name="Peças concluídas"/>
    <tableColumn id="5" name="% concluído"/>
    <tableColumn id="6" name="Tempo total (min)"/>
    <tableColumn id="7" name="Tempo que falta (min)"/>
  </tableColumns>
</table>
</file>

<file path=xl/tables/table12.xml><?xml version="1.0" encoding="utf-8"?>
<table xmlns="http://schemas.openxmlformats.org/spreadsheetml/2006/main" id="12" name="tblE13" displayName="tblE13" ref="A164:G172" headerRowCount="1" totalsRowCount="0" totalsRowShown="0">
  <autoFilter ref="A164:G172"/>
  <tableColumns count="7">
    <tableColumn id="1" name="Subatividade"/>
    <tableColumn id="2" name="Tempo ideal (min)"/>
    <tableColumn id="3" name="Peso na etapa"/>
    <tableColumn id="4" name="Peças concluídas"/>
    <tableColumn id="5" name="% concluído"/>
    <tableColumn id="6" name="Tempo total (min)"/>
    <tableColumn id="7" name="Tempo que falta (min)"/>
  </tableColumns>
</table>
</file>

<file path=xl/tables/table13.xml><?xml version="1.0" encoding="utf-8"?>
<table xmlns="http://schemas.openxmlformats.org/spreadsheetml/2006/main" id="13" name="tblE14" displayName="tblE14" ref="A179:G187" headerRowCount="1" totalsRowCount="0" totalsRowShown="0">
  <autoFilter ref="A179:G187"/>
  <tableColumns count="7">
    <tableColumn id="1" name="Subatividade"/>
    <tableColumn id="2" name="Tempo ideal (min)"/>
    <tableColumn id="3" name="Peso na etapa"/>
    <tableColumn id="4" name="Peças concluídas"/>
    <tableColumn id="5" name="% concluído"/>
    <tableColumn id="6" name="Tempo total (min)"/>
    <tableColumn id="7" name="Tempo que falta (min)"/>
  </tableColumns>
</table>
</file>

<file path=xl/tables/table14.xml><?xml version="1.0" encoding="utf-8"?>
<table xmlns="http://schemas.openxmlformats.org/spreadsheetml/2006/main" id="14" name="tblE15" displayName="tblE15" ref="A194:G202" headerRowCount="1" totalsRowCount="0" totalsRowShown="0">
  <autoFilter ref="A194:G202"/>
  <tableColumns count="7">
    <tableColumn id="1" name="Subatividade"/>
    <tableColumn id="2" name="Tempo ideal (min)"/>
    <tableColumn id="3" name="Peso na etapa"/>
    <tableColumn id="4" name="Peças concluídas"/>
    <tableColumn id="5" name="% concluído"/>
    <tableColumn id="6" name="Tempo total (min)"/>
    <tableColumn id="7" name="Tempo que falta (min)"/>
  </tableColumns>
</table>
</file>

<file path=xl/tables/table15.xml><?xml version="1.0" encoding="utf-8"?>
<table xmlns="http://schemas.openxmlformats.org/spreadsheetml/2006/main" id="15" name="tblE16" displayName="tblE16" ref="A209:G217" headerRowCount="1" totalsRowCount="0" totalsRowShown="0">
  <autoFilter ref="A209:G217"/>
  <tableColumns count="7">
    <tableColumn id="1" name="Subatividade"/>
    <tableColumn id="2" name="Tempo ideal (min)"/>
    <tableColumn id="3" name="Peso na etapa"/>
    <tableColumn id="4" name="Peças concluídas"/>
    <tableColumn id="5" name="% concluído"/>
    <tableColumn id="6" name="Tempo total (min)"/>
    <tableColumn id="7" name="Tempo que falta (min)"/>
  </tableColumns>
</table>
</file>

<file path=xl/tables/table16.xml><?xml version="1.0" encoding="utf-8"?>
<table xmlns="http://schemas.openxmlformats.org/spreadsheetml/2006/main" id="16" name="tblE17" displayName="tblE17" ref="A224:G232" headerRowCount="1" totalsRowCount="0" totalsRowShown="0">
  <autoFilter ref="A224:G232"/>
  <tableColumns count="7">
    <tableColumn id="1" name="Subatividade"/>
    <tableColumn id="2" name="Tempo ideal (min)"/>
    <tableColumn id="3" name="Peso na etapa"/>
    <tableColumn id="4" name="Peças concluídas"/>
    <tableColumn id="5" name="% concluído"/>
    <tableColumn id="6" name="Tempo total (min)"/>
    <tableColumn id="7" name="Tempo que falta (min)"/>
  </tableColumns>
</table>
</file>

<file path=xl/tables/table17.xml><?xml version="1.0" encoding="utf-8"?>
<table xmlns="http://schemas.openxmlformats.org/spreadsheetml/2006/main" id="17" name="tblE18" displayName="tblE18" ref="A239:G247" headerRowCount="1" totalsRowCount="0" totalsRowShown="0">
  <autoFilter ref="A239:G247"/>
  <tableColumns count="7">
    <tableColumn id="1" name="Subatividade"/>
    <tableColumn id="2" name="Tempo ideal (min)"/>
    <tableColumn id="3" name="Peso na etapa"/>
    <tableColumn id="4" name="Peças concluídas"/>
    <tableColumn id="5" name="% concluído"/>
    <tableColumn id="6" name="Tempo total (min)"/>
    <tableColumn id="7" name="Tempo que falta (min)"/>
  </tableColumns>
</table>
</file>

<file path=xl/tables/table18.xml><?xml version="1.0" encoding="utf-8"?>
<table xmlns="http://schemas.openxmlformats.org/spreadsheetml/2006/main" id="18" name="tblE19" displayName="tblE19" ref="A254:G262" headerRowCount="1" totalsRowCount="0" totalsRowShown="0">
  <autoFilter ref="A254:G262"/>
  <tableColumns count="7">
    <tableColumn id="1" name="Subatividade"/>
    <tableColumn id="2" name="Tempo ideal (min)"/>
    <tableColumn id="3" name="Peso na etapa"/>
    <tableColumn id="4" name="Peças concluídas"/>
    <tableColumn id="5" name="% concluído"/>
    <tableColumn id="6" name="Tempo total (min)"/>
    <tableColumn id="7" name="Tempo que falta (min)"/>
  </tableColumns>
</table>
</file>

<file path=xl/tables/table19.xml><?xml version="1.0" encoding="utf-8"?>
<table xmlns="http://schemas.openxmlformats.org/spreadsheetml/2006/main" id="19" name="tblE20" displayName="tblE20" ref="A269:G277" headerRowCount="1" totalsRowCount="0" totalsRowShown="0">
  <autoFilter ref="A269:G277"/>
  <tableColumns count="7">
    <tableColumn id="1" name="Subatividade"/>
    <tableColumn id="2" name="Tempo ideal (min)"/>
    <tableColumn id="3" name="Peso na etapa"/>
    <tableColumn id="4" name="Peças concluídas"/>
    <tableColumn id="5" name="% concluído"/>
    <tableColumn id="6" name="Tempo total (min)"/>
    <tableColumn id="7" name="Tempo que falta (min)"/>
  </tableColumns>
</table>
</file>

<file path=xl/tables/table20.xml><?xml version="1.0" encoding="utf-8"?>
<table xmlns="http://schemas.openxmlformats.org/spreadsheetml/2006/main" id="20" name="tblE21" displayName="tblE21" ref="A284:G292" headerRowCount="1" totalsRowCount="0" totalsRowShown="0">
  <autoFilter ref="A284:G292"/>
  <tableColumns count="7">
    <tableColumn id="1" name="Subatividade"/>
    <tableColumn id="2" name="Tempo ideal (min)"/>
    <tableColumn id="3" name="Peso na etapa"/>
    <tableColumn id="4" name="Peças concluídas"/>
    <tableColumn id="5" name="% concluído"/>
    <tableColumn id="6" name="Tempo total (min)"/>
    <tableColumn id="7" name="Tempo que falta (min)"/>
  </tableColumns>
</table>
</file>

<file path=xl/tables/table21.xml><?xml version="1.0" encoding="utf-8"?>
<table xmlns="http://schemas.openxmlformats.org/spreadsheetml/2006/main" id="21" name="tblE22" displayName="tblE22" ref="A299:G307" headerRowCount="1" totalsRowCount="0" totalsRowShown="0">
  <autoFilter ref="A299:G307"/>
  <tableColumns count="7">
    <tableColumn id="1" name="Subatividade"/>
    <tableColumn id="2" name="Tempo ideal (min)"/>
    <tableColumn id="3" name="Peso na etapa"/>
    <tableColumn id="4" name="Peças concluídas"/>
    <tableColumn id="5" name="% concluído"/>
    <tableColumn id="6" name="Tempo total (min)"/>
    <tableColumn id="7" name="Tempo que falta (min)"/>
  </tableColumns>
</table>
</file>

<file path=xl/tables/table22.xml><?xml version="1.0" encoding="utf-8"?>
<table xmlns="http://schemas.openxmlformats.org/spreadsheetml/2006/main" id="22" name="tblE23" displayName="tblE23" ref="A314:G322" headerRowCount="1" totalsRowCount="0" totalsRowShown="0">
  <autoFilter ref="A314:G322"/>
  <tableColumns count="7">
    <tableColumn id="1" name="Subatividade"/>
    <tableColumn id="2" name="Tempo ideal (min)"/>
    <tableColumn id="3" name="Peso na etapa"/>
    <tableColumn id="4" name="Peças concluídas"/>
    <tableColumn id="5" name="% concluído"/>
    <tableColumn id="6" name="Tempo total (min)"/>
    <tableColumn id="7" name="Tempo que falta (min)"/>
  </tableColumns>
</table>
</file>

<file path=xl/tables/table23.xml><?xml version="1.0" encoding="utf-8"?>
<table xmlns="http://schemas.openxmlformats.org/spreadsheetml/2006/main" id="23" name="tblE24" displayName="tblE24" ref="A329:G337" headerRowCount="1" totalsRowCount="0" totalsRowShown="0">
  <autoFilter ref="A329:G337"/>
  <tableColumns count="7">
    <tableColumn id="1" name="Subatividade"/>
    <tableColumn id="2" name="Tempo ideal (min)"/>
    <tableColumn id="3" name="Peso na etapa"/>
    <tableColumn id="4" name="Peças concluídas"/>
    <tableColumn id="5" name="% concluído"/>
    <tableColumn id="6" name="Tempo total (min)"/>
    <tableColumn id="7" name="Tempo que falta (min)"/>
  </tableColumns>
</table>
</file>

<file path=xl/tables/table24.xml><?xml version="1.0" encoding="utf-8"?>
<table xmlns="http://schemas.openxmlformats.org/spreadsheetml/2006/main" id="24" name="tblE25" displayName="tblE25" ref="A344:G352" headerRowCount="1" totalsRowCount="0" totalsRowShown="0">
  <autoFilter ref="A344:G352"/>
  <tableColumns count="7">
    <tableColumn id="1" name="Subatividade"/>
    <tableColumn id="2" name="Tempo ideal (min)"/>
    <tableColumn id="3" name="Peso na etapa"/>
    <tableColumn id="4" name="Peças concluídas"/>
    <tableColumn id="5" name="% concluído"/>
    <tableColumn id="6" name="Tempo total (min)"/>
    <tableColumn id="7" name="Tempo que falta (min)"/>
  </tableColumns>
</table>
</file>

<file path=xl/tables/table25.xml><?xml version="1.0" encoding="utf-8"?>
<table xmlns="http://schemas.openxmlformats.org/spreadsheetml/2006/main" id="25" name="tblE26" displayName="tblE26" ref="A359:G367" headerRowCount="1" totalsRowCount="0" totalsRowShown="0">
  <autoFilter ref="A359:G367"/>
  <tableColumns count="7">
    <tableColumn id="1" name="Subatividade"/>
    <tableColumn id="2" name="Tempo ideal (min)"/>
    <tableColumn id="3" name="Peso na etapa"/>
    <tableColumn id="4" name="Peças concluídas"/>
    <tableColumn id="5" name="% concluído"/>
    <tableColumn id="6" name="Tempo total (min)"/>
    <tableColumn id="7" name="Tempo que falta (min)"/>
  </tableColumns>
</table>
</file>

<file path=xl/tables/table26.xml><?xml version="1.0" encoding="utf-8"?>
<table xmlns="http://schemas.openxmlformats.org/spreadsheetml/2006/main" id="26" name="tblProgresso" displayName="tblProgresso" ref="A389:G413" headerRowCount="1" totalsRowCount="0" totalsRowShown="0">
  <autoFilter ref="A389:G413"/>
  <tableColumns count="7">
    <tableColumn id="1" name="Etapa"/>
    <tableColumn id="2" name="Tempo por robô (min)"/>
    <tableColumn id="3" name="Peso no robô"/>
    <tableColumn id="4" name="Previstas"/>
    <tableColumn id="5" name="Progresso"/>
    <tableColumn id="6" name="Tempo total (h)"/>
    <tableColumn id="7" name="Tempo que falta (h)"/>
  </tableColumns>
</table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hyperlink" Target="acompanhamento_montagem_v4.xlsx" TargetMode="External"/><Relationship Id="rId2" Type="http://schemas.openxmlformats.org/officeDocument/2006/relationships/drawing" Target="../drawings/drawing1.xml"/><Relationship Id="rId3" Type="http://schemas.openxmlformats.org/officeDocument/2006/relationships/table" Target="../tables/table1.xml"/><Relationship Id="rId4" Type="http://schemas.openxmlformats.org/officeDocument/2006/relationships/table" Target="../tables/table2.xml"/><Relationship Id="rId5" Type="http://schemas.openxmlformats.org/officeDocument/2006/relationships/table" Target="../tables/table3.xml"/><Relationship Id="rId6" Type="http://schemas.openxmlformats.org/officeDocument/2006/relationships/table" Target="../tables/table4.xml"/><Relationship Id="rId7" Type="http://schemas.openxmlformats.org/officeDocument/2006/relationships/table" Target="../tables/table5.xml"/><Relationship Id="rId8" Type="http://schemas.openxmlformats.org/officeDocument/2006/relationships/table" Target="../tables/table6.xml"/><Relationship Id="rId9" Type="http://schemas.openxmlformats.org/officeDocument/2006/relationships/table" Target="../tables/table7.xml"/><Relationship Id="rId10" Type="http://schemas.openxmlformats.org/officeDocument/2006/relationships/table" Target="../tables/table8.xml"/><Relationship Id="rId11" Type="http://schemas.openxmlformats.org/officeDocument/2006/relationships/table" Target="../tables/table9.xml"/><Relationship Id="rId12" Type="http://schemas.openxmlformats.org/officeDocument/2006/relationships/table" Target="../tables/table10.xml"/><Relationship Id="rId13" Type="http://schemas.openxmlformats.org/officeDocument/2006/relationships/table" Target="../tables/table11.xml"/><Relationship Id="rId14" Type="http://schemas.openxmlformats.org/officeDocument/2006/relationships/table" Target="../tables/table12.xml"/><Relationship Id="rId15" Type="http://schemas.openxmlformats.org/officeDocument/2006/relationships/table" Target="../tables/table13.xml"/><Relationship Id="rId16" Type="http://schemas.openxmlformats.org/officeDocument/2006/relationships/table" Target="../tables/table14.xml"/><Relationship Id="rId17" Type="http://schemas.openxmlformats.org/officeDocument/2006/relationships/table" Target="../tables/table15.xml"/><Relationship Id="rId18" Type="http://schemas.openxmlformats.org/officeDocument/2006/relationships/table" Target="../tables/table16.xml"/><Relationship Id="rId19" Type="http://schemas.openxmlformats.org/officeDocument/2006/relationships/table" Target="../tables/table17.xml"/><Relationship Id="rId20" Type="http://schemas.openxmlformats.org/officeDocument/2006/relationships/table" Target="../tables/table18.xml"/><Relationship Id="rId21" Type="http://schemas.openxmlformats.org/officeDocument/2006/relationships/table" Target="../tables/table19.xml"/><Relationship Id="rId22" Type="http://schemas.openxmlformats.org/officeDocument/2006/relationships/table" Target="../tables/table20.xml"/><Relationship Id="rId23" Type="http://schemas.openxmlformats.org/officeDocument/2006/relationships/table" Target="../tables/table21.xml"/><Relationship Id="rId24" Type="http://schemas.openxmlformats.org/officeDocument/2006/relationships/table" Target="../tables/table22.xml"/><Relationship Id="rId25" Type="http://schemas.openxmlformats.org/officeDocument/2006/relationships/table" Target="../tables/table23.xml"/><Relationship Id="rId26" Type="http://schemas.openxmlformats.org/officeDocument/2006/relationships/table" Target="../tables/table24.xml"/><Relationship Id="rId27" Type="http://schemas.openxmlformats.org/officeDocument/2006/relationships/table" Target="../tables/table25.xml"/><Relationship Id="rId28" Type="http://schemas.openxmlformats.org/officeDocument/2006/relationships/table" Target="../tables/table26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P443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6"/>
    <col collapsed="false" customWidth="true" hidden="false" outlineLevel="0" max="2" min="2" style="0" width="16"/>
    <col collapsed="false" customWidth="true" hidden="false" outlineLevel="0" max="3" min="3" style="0" width="15"/>
    <col collapsed="false" customWidth="true" hidden="false" outlineLevel="0" max="4" min="4" style="0" width="16"/>
    <col collapsed="false" customWidth="true" hidden="false" outlineLevel="0" max="5" min="5" style="0" width="15"/>
    <col collapsed="false" customWidth="true" hidden="false" outlineLevel="0" max="6" min="6" style="0" width="16"/>
    <col collapsed="false" customWidth="true" hidden="false" outlineLevel="0" max="7" min="7" style="0" width="17"/>
    <col collapsed="false" customWidth="true" hidden="false" outlineLevel="0" max="15" min="15" style="0" width="13"/>
    <col collapsed="false" customWidth="true" hidden="false" outlineLevel="0" max="16" min="16" style="0" width="8"/>
  </cols>
  <sheetData>
    <row r="1" customFormat="false" ht="19.7" hidden="false" customHeight="false" outlineLevel="0" collapsed="false">
      <c r="A1" s="1" t="s">
        <v>0</v>
      </c>
    </row>
    <row r="2" customFormat="false" ht="15" hidden="false" customHeight="false" outlineLevel="0" collapsed="false">
      <c r="A2" s="2" t="s">
        <v>1</v>
      </c>
    </row>
    <row r="3" customFormat="false" ht="15" hidden="false" customHeight="false" outlineLevel="0" collapsed="false">
      <c r="A3" s="3" t="s">
        <v>2</v>
      </c>
    </row>
    <row r="4" customFormat="false" ht="15" hidden="false" customHeight="false" outlineLevel="0" collapsed="false">
      <c r="A4" s="4" t="s">
        <v>3</v>
      </c>
      <c r="B4" s="5" t="n">
        <v>10</v>
      </c>
    </row>
    <row r="5" customFormat="false" ht="15" hidden="false" customHeight="false" outlineLevel="0" collapsed="false">
      <c r="A5" s="6" t="s">
        <v>4</v>
      </c>
      <c r="B5" s="7" t="str">
        <f aca="false">B377&amp;" de "&amp;C377</f>
        <v>0 de 10</v>
      </c>
    </row>
    <row r="6" customFormat="false" ht="15" hidden="false" customHeight="false" outlineLevel="0" collapsed="false">
      <c r="A6" s="6" t="s">
        <v>5</v>
      </c>
      <c r="B6" s="8" t="n">
        <f aca="false">D381</f>
        <v>0.131578947368421</v>
      </c>
    </row>
    <row r="7" customFormat="false" ht="15" hidden="false" customHeight="false" outlineLevel="0" collapsed="false">
      <c r="A7" s="6" t="s">
        <v>6</v>
      </c>
      <c r="B7" s="7" t="str">
        <f aca="false">B380&amp;" de "&amp;C380</f>
        <v>15 de 240</v>
      </c>
    </row>
    <row r="8" customFormat="false" ht="15" hidden="false" customHeight="false" outlineLevel="0" collapsed="false">
      <c r="A8" s="6" t="s">
        <v>7</v>
      </c>
      <c r="B8" s="9" t="n">
        <f aca="false">B383</f>
        <v>27.5</v>
      </c>
    </row>
    <row r="9" customFormat="false" ht="15" hidden="false" customHeight="false" outlineLevel="0" collapsed="false">
      <c r="A9" s="6" t="s">
        <v>8</v>
      </c>
      <c r="B9" s="9" t="n">
        <f aca="false">B384</f>
        <v>3.4375</v>
      </c>
    </row>
    <row r="10" customFormat="false" ht="15" hidden="false" customHeight="false" outlineLevel="0" collapsed="false">
      <c r="A10" s="10" t="s">
        <v>9</v>
      </c>
    </row>
    <row r="12" customFormat="false" ht="21.75" hidden="false" customHeight="true" outlineLevel="0" collapsed="false">
      <c r="A12" s="11" t="s">
        <v>10</v>
      </c>
      <c r="B12" s="11"/>
      <c r="C12" s="11"/>
      <c r="D12" s="11"/>
      <c r="E12" s="12" t="s">
        <v>11</v>
      </c>
      <c r="F12" s="13" t="n">
        <f aca="false">C390</f>
        <v>0.68421052631579</v>
      </c>
      <c r="G12" s="11"/>
      <c r="O12" s="14" t="s">
        <v>12</v>
      </c>
      <c r="P12" s="15" t="n">
        <f aca="false">E23</f>
        <v>0.192307692307692</v>
      </c>
    </row>
    <row r="13" customFormat="false" ht="30" hidden="false" customHeight="true" outlineLevel="0" collapsed="false">
      <c r="A13" s="16" t="s">
        <v>13</v>
      </c>
      <c r="B13" s="17" t="n">
        <f aca="false">$B$4</f>
        <v>10</v>
      </c>
      <c r="C13" s="18"/>
      <c r="D13" s="18"/>
      <c r="E13" s="19" t="s">
        <v>14</v>
      </c>
      <c r="F13" s="17" t="n">
        <f aca="false">IF(COUNT(E15:E22)=0,0,ROUND(MIN(E15:E22)*B13,0))</f>
        <v>1</v>
      </c>
      <c r="G13" s="18"/>
      <c r="O13" s="14" t="s">
        <v>15</v>
      </c>
      <c r="P13" s="15" t="n">
        <f aca="false">1-P12</f>
        <v>0.807692307692308</v>
      </c>
    </row>
    <row r="14" customFormat="false" ht="30" hidden="false" customHeight="true" outlineLevel="0" collapsed="false">
      <c r="A14" s="20" t="s">
        <v>16</v>
      </c>
      <c r="B14" s="20" t="s">
        <v>17</v>
      </c>
      <c r="C14" s="20" t="s">
        <v>18</v>
      </c>
      <c r="D14" s="20" t="s">
        <v>19</v>
      </c>
      <c r="E14" s="20" t="s">
        <v>20</v>
      </c>
      <c r="F14" s="20" t="s">
        <v>21</v>
      </c>
      <c r="G14" s="20" t="s">
        <v>22</v>
      </c>
    </row>
    <row r="15" customFormat="false" ht="15" hidden="false" customHeight="false" outlineLevel="0" collapsed="false">
      <c r="A15" s="21" t="s">
        <v>23</v>
      </c>
      <c r="B15" s="22" t="n">
        <v>10</v>
      </c>
      <c r="C15" s="23" t="n">
        <f aca="false">IF(OR(A15="",$B$23=0),"",N(B15)/$B$23)</f>
        <v>0.0769230769230769</v>
      </c>
      <c r="D15" s="22" t="n">
        <v>5</v>
      </c>
      <c r="E15" s="23" t="n">
        <f aca="false">IF(A15="","",IF($B$13&gt;0,MIN(1,N(D15)/$B$13),0))</f>
        <v>0.5</v>
      </c>
      <c r="F15" s="24" t="n">
        <f aca="false">IF(A15="","",N(B15)*$B$13)</f>
        <v>100</v>
      </c>
      <c r="G15" s="24" t="n">
        <f aca="false">IF(A15="","",N(B15)*($B$13-MIN($B$13,N(D15))))</f>
        <v>50</v>
      </c>
      <c r="O15" s="14" t="s">
        <v>24</v>
      </c>
      <c r="P15" s="25" t="n">
        <f aca="false">COUNTA(A15:A22)</f>
        <v>4</v>
      </c>
    </row>
    <row r="16" customFormat="false" ht="15" hidden="false" customHeight="false" outlineLevel="0" collapsed="false">
      <c r="A16" s="21" t="s">
        <v>25</v>
      </c>
      <c r="B16" s="22" t="n">
        <v>10</v>
      </c>
      <c r="C16" s="23" t="n">
        <f aca="false">IF(OR(A16="",$B$23=0),"",N(B16)/$B$23)</f>
        <v>0.0769230769230769</v>
      </c>
      <c r="D16" s="22" t="n">
        <v>5</v>
      </c>
      <c r="E16" s="23" t="n">
        <f aca="false">IF(A16="","",IF($B$13&gt;0,MIN(1,N(D16)/$B$13),0))</f>
        <v>0.5</v>
      </c>
      <c r="F16" s="24" t="n">
        <f aca="false">IF(A16="","",N(B16)*$B$13)</f>
        <v>100</v>
      </c>
      <c r="G16" s="24" t="n">
        <f aca="false">IF(A16="","",N(B16)*($B$13-MIN($B$13,N(D16))))</f>
        <v>50</v>
      </c>
      <c r="O16" s="14" t="s">
        <v>26</v>
      </c>
      <c r="P16" s="25" t="n">
        <f aca="false">COUNTIF(E15:E22,"&gt;=1")</f>
        <v>0</v>
      </c>
    </row>
    <row r="17" customFormat="false" ht="15" hidden="false" customHeight="false" outlineLevel="0" collapsed="false">
      <c r="A17" s="21" t="s">
        <v>27</v>
      </c>
      <c r="B17" s="22" t="n">
        <v>10</v>
      </c>
      <c r="C17" s="23" t="n">
        <f aca="false">IF(OR(A17="",$B$23=0),"",N(B17)/$B$23)</f>
        <v>0.0769230769230769</v>
      </c>
      <c r="D17" s="22" t="n">
        <v>5</v>
      </c>
      <c r="E17" s="23" t="n">
        <f aca="false">IF(A17="","",IF($B$13&gt;0,MIN(1,N(D17)/$B$13),0))</f>
        <v>0.5</v>
      </c>
      <c r="F17" s="24" t="n">
        <f aca="false">IF(A17="","",N(B17)*$B$13)</f>
        <v>100</v>
      </c>
      <c r="G17" s="24" t="n">
        <f aca="false">IF(A17="","",N(B17)*($B$13-MIN($B$13,N(D17))))</f>
        <v>50</v>
      </c>
    </row>
    <row r="18" customFormat="false" ht="15" hidden="false" customHeight="false" outlineLevel="0" collapsed="false">
      <c r="A18" s="21" t="s">
        <v>28</v>
      </c>
      <c r="B18" s="22" t="n">
        <v>100</v>
      </c>
      <c r="C18" s="23" t="n">
        <f aca="false">IF(OR(A18="",$B$23=0),"",N(B18)/$B$23)</f>
        <v>0.769230769230769</v>
      </c>
      <c r="D18" s="22" t="n">
        <v>1</v>
      </c>
      <c r="E18" s="23" t="n">
        <f aca="false">IF(A18="","",IF($B$13&gt;0,MIN(1,N(D18)/$B$13),0))</f>
        <v>0.1</v>
      </c>
      <c r="F18" s="24" t="n">
        <f aca="false">IF(A18="","",N(B18)*$B$13)</f>
        <v>1000</v>
      </c>
      <c r="G18" s="24" t="n">
        <f aca="false">IF(A18="","",N(B18)*($B$13-MIN($B$13,N(D18))))</f>
        <v>900</v>
      </c>
    </row>
    <row r="19" customFormat="false" ht="15" hidden="false" customHeight="false" outlineLevel="0" collapsed="false">
      <c r="A19" s="21"/>
      <c r="B19" s="22"/>
      <c r="C19" s="23" t="str">
        <f aca="false">IF(OR(A19="",$B$23=0),"",N(B19)/$B$23)</f>
        <v/>
      </c>
      <c r="D19" s="22"/>
      <c r="E19" s="23" t="str">
        <f aca="false">IF(A19="","",IF($B$13&gt;0,MIN(1,N(D19)/$B$13),0))</f>
        <v/>
      </c>
      <c r="F19" s="24" t="str">
        <f aca="false">IF(A19="","",N(B19)*$B$13)</f>
        <v/>
      </c>
      <c r="G19" s="24" t="str">
        <f aca="false">IF(A19="","",N(B19)*($B$13-MIN($B$13,N(D19))))</f>
        <v/>
      </c>
    </row>
    <row r="20" customFormat="false" ht="15" hidden="false" customHeight="false" outlineLevel="0" collapsed="false">
      <c r="A20" s="21"/>
      <c r="B20" s="22"/>
      <c r="C20" s="23" t="str">
        <f aca="false">IF(OR(A20="",$B$23=0),"",N(B20)/$B$23)</f>
        <v/>
      </c>
      <c r="D20" s="22"/>
      <c r="E20" s="23" t="str">
        <f aca="false">IF(A20="","",IF($B$13&gt;0,MIN(1,N(D20)/$B$13),0))</f>
        <v/>
      </c>
      <c r="F20" s="24" t="str">
        <f aca="false">IF(A20="","",N(B20)*$B$13)</f>
        <v/>
      </c>
      <c r="G20" s="24" t="str">
        <f aca="false">IF(A20="","",N(B20)*($B$13-MIN($B$13,N(D20))))</f>
        <v/>
      </c>
    </row>
    <row r="21" customFormat="false" ht="15" hidden="false" customHeight="false" outlineLevel="0" collapsed="false">
      <c r="A21" s="21"/>
      <c r="B21" s="22"/>
      <c r="C21" s="23" t="str">
        <f aca="false">IF(OR(A21="",$B$23=0),"",N(B21)/$B$23)</f>
        <v/>
      </c>
      <c r="D21" s="22"/>
      <c r="E21" s="23" t="str">
        <f aca="false">IF(A21="","",IF($B$13&gt;0,MIN(1,N(D21)/$B$13),0))</f>
        <v/>
      </c>
      <c r="F21" s="24" t="str">
        <f aca="false">IF(A21="","",N(B21)*$B$13)</f>
        <v/>
      </c>
      <c r="G21" s="24" t="str">
        <f aca="false">IF(A21="","",N(B21)*($B$13-MIN($B$13,N(D21))))</f>
        <v/>
      </c>
    </row>
    <row r="22" customFormat="false" ht="15" hidden="false" customHeight="false" outlineLevel="0" collapsed="false">
      <c r="A22" s="21"/>
      <c r="B22" s="22"/>
      <c r="C22" s="23" t="str">
        <f aca="false">IF(OR(A22="",$B$23=0),"",N(B22)/$B$23)</f>
        <v/>
      </c>
      <c r="D22" s="22"/>
      <c r="E22" s="23" t="str">
        <f aca="false">IF(A22="","",IF($B$13&gt;0,MIN(1,N(D22)/$B$13),0))</f>
        <v/>
      </c>
      <c r="F22" s="24" t="str">
        <f aca="false">IF(A22="","",N(B22)*$B$13)</f>
        <v/>
      </c>
      <c r="G22" s="24" t="str">
        <f aca="false">IF(A22="","",N(B22)*($B$13-MIN($B$13,N(D22))))</f>
        <v/>
      </c>
    </row>
    <row r="23" customFormat="false" ht="15" hidden="false" customHeight="false" outlineLevel="0" collapsed="false">
      <c r="A23" s="18" t="s">
        <v>29</v>
      </c>
      <c r="B23" s="26" t="n">
        <f aca="false">SUM(B15:B22)</f>
        <v>130</v>
      </c>
      <c r="C23" s="27"/>
      <c r="D23" s="27"/>
      <c r="E23" s="28" t="n">
        <f aca="false">IF(B23&gt;0,SUMPRODUCT(B15:B22,E15:E22)/B23,IF(COUNT(E15:E22)=0,0,SUM(E15:E22)/COUNT(E15:E22)))</f>
        <v>0.192307692307692</v>
      </c>
      <c r="F23" s="17" t="n">
        <f aca="false">SUM(F15:F22)</f>
        <v>1300</v>
      </c>
      <c r="G23" s="17" t="n">
        <f aca="false">SUM(G15:G22)</f>
        <v>1050</v>
      </c>
    </row>
    <row r="24" customFormat="false" ht="15" hidden="false" customHeight="false" outlineLevel="0" collapsed="false">
      <c r="A24" s="18" t="s">
        <v>30</v>
      </c>
      <c r="B24" s="27"/>
      <c r="C24" s="27"/>
      <c r="D24" s="27" t="str">
        <f aca="false">F13&amp;"/"&amp;B13</f>
        <v>1/10</v>
      </c>
      <c r="E24" s="28" t="n">
        <f aca="false">IF(B13&gt;0,MIN(1,F13/B13),0)</f>
        <v>0.1</v>
      </c>
      <c r="F24" s="27"/>
      <c r="G24" s="27"/>
    </row>
    <row r="27" customFormat="false" ht="21.75" hidden="false" customHeight="true" outlineLevel="0" collapsed="false">
      <c r="A27" s="11" t="s">
        <v>31</v>
      </c>
      <c r="B27" s="11"/>
      <c r="C27" s="11"/>
      <c r="D27" s="11"/>
      <c r="E27" s="12" t="s">
        <v>11</v>
      </c>
      <c r="F27" s="13" t="n">
        <f aca="false">C391</f>
        <v>0.315789473684211</v>
      </c>
      <c r="G27" s="11"/>
      <c r="O27" s="14" t="s">
        <v>12</v>
      </c>
      <c r="P27" s="15" t="n">
        <f aca="false">E38</f>
        <v>0</v>
      </c>
    </row>
    <row r="28" customFormat="false" ht="30" hidden="false" customHeight="true" outlineLevel="0" collapsed="false">
      <c r="A28" s="16" t="s">
        <v>13</v>
      </c>
      <c r="B28" s="17" t="n">
        <f aca="false">$B$4</f>
        <v>10</v>
      </c>
      <c r="C28" s="18"/>
      <c r="D28" s="18"/>
      <c r="E28" s="19" t="s">
        <v>14</v>
      </c>
      <c r="F28" s="17" t="n">
        <f aca="false">IF(COUNT(E30:E37)=0,0,ROUND(MIN(E30:E37)*B28,0))</f>
        <v>0</v>
      </c>
      <c r="G28" s="18"/>
      <c r="O28" s="14" t="s">
        <v>15</v>
      </c>
      <c r="P28" s="15" t="n">
        <f aca="false">1-P27</f>
        <v>1</v>
      </c>
    </row>
    <row r="29" customFormat="false" ht="30" hidden="false" customHeight="true" outlineLevel="0" collapsed="false">
      <c r="A29" s="20" t="s">
        <v>16</v>
      </c>
      <c r="B29" s="20" t="s">
        <v>17</v>
      </c>
      <c r="C29" s="20" t="s">
        <v>18</v>
      </c>
      <c r="D29" s="20" t="s">
        <v>19</v>
      </c>
      <c r="E29" s="20" t="s">
        <v>20</v>
      </c>
      <c r="F29" s="20" t="s">
        <v>21</v>
      </c>
      <c r="G29" s="20" t="s">
        <v>22</v>
      </c>
    </row>
    <row r="30" customFormat="false" ht="15" hidden="false" customHeight="false" outlineLevel="0" collapsed="false">
      <c r="A30" s="21" t="s">
        <v>32</v>
      </c>
      <c r="B30" s="22" t="n">
        <v>15</v>
      </c>
      <c r="C30" s="23" t="n">
        <f aca="false">IF(OR(A30="",$B$38=0),"",N(B30)/$B$38)</f>
        <v>0.25</v>
      </c>
      <c r="D30" s="22" t="n">
        <v>0</v>
      </c>
      <c r="E30" s="23" t="n">
        <f aca="false">IF(A30="","",IF($B$28&gt;0,MIN(1,N(D30)/$B$28),0))</f>
        <v>0</v>
      </c>
      <c r="F30" s="24" t="n">
        <f aca="false">IF(A30="","",N(B30)*$B$28)</f>
        <v>150</v>
      </c>
      <c r="G30" s="24" t="n">
        <f aca="false">IF(A30="","",N(B30)*($B$28-MIN($B$28,N(D30))))</f>
        <v>150</v>
      </c>
      <c r="O30" s="14" t="s">
        <v>24</v>
      </c>
      <c r="P30" s="25" t="n">
        <f aca="false">COUNTA(A30:A37)</f>
        <v>3</v>
      </c>
    </row>
    <row r="31" customFormat="false" ht="15" hidden="false" customHeight="false" outlineLevel="0" collapsed="false">
      <c r="A31" s="21" t="s">
        <v>33</v>
      </c>
      <c r="B31" s="22" t="n">
        <v>25</v>
      </c>
      <c r="C31" s="23" t="n">
        <f aca="false">IF(OR(A31="",$B$38=0),"",N(B31)/$B$38)</f>
        <v>0.416666666666667</v>
      </c>
      <c r="D31" s="22" t="n">
        <v>0</v>
      </c>
      <c r="E31" s="23" t="n">
        <f aca="false">IF(A31="","",IF($B$28&gt;0,MIN(1,N(D31)/$B$28),0))</f>
        <v>0</v>
      </c>
      <c r="F31" s="24" t="n">
        <f aca="false">IF(A31="","",N(B31)*$B$28)</f>
        <v>250</v>
      </c>
      <c r="G31" s="24" t="n">
        <f aca="false">IF(A31="","",N(B31)*($B$28-MIN($B$28,N(D31))))</f>
        <v>250</v>
      </c>
      <c r="O31" s="14" t="s">
        <v>26</v>
      </c>
      <c r="P31" s="25" t="n">
        <f aca="false">COUNTIF(E30:E37,"&gt;=1")</f>
        <v>0</v>
      </c>
    </row>
    <row r="32" customFormat="false" ht="15" hidden="false" customHeight="false" outlineLevel="0" collapsed="false">
      <c r="A32" s="21" t="s">
        <v>34</v>
      </c>
      <c r="B32" s="22" t="n">
        <v>20</v>
      </c>
      <c r="C32" s="23" t="n">
        <f aca="false">IF(OR(A32="",$B$38=0),"",N(B32)/$B$38)</f>
        <v>0.333333333333333</v>
      </c>
      <c r="D32" s="22" t="n">
        <v>0</v>
      </c>
      <c r="E32" s="23" t="n">
        <f aca="false">IF(A32="","",IF($B$28&gt;0,MIN(1,N(D32)/$B$28),0))</f>
        <v>0</v>
      </c>
      <c r="F32" s="24" t="n">
        <f aca="false">IF(A32="","",N(B32)*$B$28)</f>
        <v>200</v>
      </c>
      <c r="G32" s="24" t="n">
        <f aca="false">IF(A32="","",N(B32)*($B$28-MIN($B$28,N(D32))))</f>
        <v>200</v>
      </c>
    </row>
    <row r="33" customFormat="false" ht="15" hidden="false" customHeight="false" outlineLevel="0" collapsed="false">
      <c r="A33" s="21"/>
      <c r="B33" s="22"/>
      <c r="C33" s="23" t="str">
        <f aca="false">IF(OR(A33="",$B$38=0),"",N(B33)/$B$38)</f>
        <v/>
      </c>
      <c r="D33" s="22"/>
      <c r="E33" s="23" t="str">
        <f aca="false">IF(A33="","",IF($B$28&gt;0,MIN(1,N(D33)/$B$28),0))</f>
        <v/>
      </c>
      <c r="F33" s="24" t="str">
        <f aca="false">IF(A33="","",N(B33)*$B$28)</f>
        <v/>
      </c>
      <c r="G33" s="24" t="str">
        <f aca="false">IF(A33="","",N(B33)*($B$28-MIN($B$28,N(D33))))</f>
        <v/>
      </c>
    </row>
    <row r="34" customFormat="false" ht="15" hidden="false" customHeight="false" outlineLevel="0" collapsed="false">
      <c r="A34" s="21"/>
      <c r="B34" s="22"/>
      <c r="C34" s="23" t="str">
        <f aca="false">IF(OR(A34="",$B$38=0),"",N(B34)/$B$38)</f>
        <v/>
      </c>
      <c r="D34" s="22"/>
      <c r="E34" s="23" t="str">
        <f aca="false">IF(A34="","",IF($B$28&gt;0,MIN(1,N(D34)/$B$28),0))</f>
        <v/>
      </c>
      <c r="F34" s="24" t="str">
        <f aca="false">IF(A34="","",N(B34)*$B$28)</f>
        <v/>
      </c>
      <c r="G34" s="24" t="str">
        <f aca="false">IF(A34="","",N(B34)*($B$28-MIN($B$28,N(D34))))</f>
        <v/>
      </c>
    </row>
    <row r="35" customFormat="false" ht="15" hidden="false" customHeight="false" outlineLevel="0" collapsed="false">
      <c r="A35" s="21"/>
      <c r="B35" s="22"/>
      <c r="C35" s="23" t="str">
        <f aca="false">IF(OR(A35="",$B$38=0),"",N(B35)/$B$38)</f>
        <v/>
      </c>
      <c r="D35" s="22"/>
      <c r="E35" s="23" t="str">
        <f aca="false">IF(A35="","",IF($B$28&gt;0,MIN(1,N(D35)/$B$28),0))</f>
        <v/>
      </c>
      <c r="F35" s="24" t="str">
        <f aca="false">IF(A35="","",N(B35)*$B$28)</f>
        <v/>
      </c>
      <c r="G35" s="24" t="str">
        <f aca="false">IF(A35="","",N(B35)*($B$28-MIN($B$28,N(D35))))</f>
        <v/>
      </c>
    </row>
    <row r="36" customFormat="false" ht="15" hidden="false" customHeight="false" outlineLevel="0" collapsed="false">
      <c r="A36" s="21"/>
      <c r="B36" s="22"/>
      <c r="C36" s="23" t="str">
        <f aca="false">IF(OR(A36="",$B$38=0),"",N(B36)/$B$38)</f>
        <v/>
      </c>
      <c r="D36" s="22"/>
      <c r="E36" s="23" t="str">
        <f aca="false">IF(A36="","",IF($B$28&gt;0,MIN(1,N(D36)/$B$28),0))</f>
        <v/>
      </c>
      <c r="F36" s="24" t="str">
        <f aca="false">IF(A36="","",N(B36)*$B$28)</f>
        <v/>
      </c>
      <c r="G36" s="24" t="str">
        <f aca="false">IF(A36="","",N(B36)*($B$28-MIN($B$28,N(D36))))</f>
        <v/>
      </c>
    </row>
    <row r="37" customFormat="false" ht="15" hidden="false" customHeight="false" outlineLevel="0" collapsed="false">
      <c r="A37" s="21"/>
      <c r="B37" s="22"/>
      <c r="C37" s="23" t="str">
        <f aca="false">IF(OR(A37="",$B$38=0),"",N(B37)/$B$38)</f>
        <v/>
      </c>
      <c r="D37" s="22"/>
      <c r="E37" s="23" t="str">
        <f aca="false">IF(A37="","",IF($B$28&gt;0,MIN(1,N(D37)/$B$28),0))</f>
        <v/>
      </c>
      <c r="F37" s="24" t="str">
        <f aca="false">IF(A37="","",N(B37)*$B$28)</f>
        <v/>
      </c>
      <c r="G37" s="24" t="str">
        <f aca="false">IF(A37="","",N(B37)*($B$28-MIN($B$28,N(D37))))</f>
        <v/>
      </c>
    </row>
    <row r="38" customFormat="false" ht="15" hidden="false" customHeight="false" outlineLevel="0" collapsed="false">
      <c r="A38" s="18" t="s">
        <v>29</v>
      </c>
      <c r="B38" s="26" t="n">
        <f aca="false">SUM(B30:B37)</f>
        <v>60</v>
      </c>
      <c r="C38" s="27"/>
      <c r="D38" s="27"/>
      <c r="E38" s="28" t="n">
        <f aca="false">IF(B38&gt;0,SUMPRODUCT(B30:B37,E30:E37)/B38,IF(COUNT(E30:E37)=0,0,SUM(E30:E37)/COUNT(E30:E37)))</f>
        <v>0</v>
      </c>
      <c r="F38" s="17" t="n">
        <f aca="false">SUM(F30:F37)</f>
        <v>600</v>
      </c>
      <c r="G38" s="17" t="n">
        <f aca="false">SUM(G30:G37)</f>
        <v>600</v>
      </c>
    </row>
    <row r="39" customFormat="false" ht="15" hidden="false" customHeight="false" outlineLevel="0" collapsed="false">
      <c r="A39" s="18" t="s">
        <v>30</v>
      </c>
      <c r="B39" s="27"/>
      <c r="C39" s="27"/>
      <c r="D39" s="27" t="str">
        <f aca="false">F28&amp;"/"&amp;B28</f>
        <v>0/10</v>
      </c>
      <c r="E39" s="28" t="n">
        <f aca="false">IF(B28&gt;0,MIN(1,F28/B28),0)</f>
        <v>0</v>
      </c>
      <c r="F39" s="27"/>
      <c r="G39" s="27"/>
    </row>
    <row r="40" customFormat="false" ht="15" hidden="false" customHeight="false" outlineLevel="0" collapsed="false">
      <c r="A40" s="29" t="s">
        <v>35</v>
      </c>
    </row>
    <row r="42" customFormat="false" ht="21.75" hidden="false" customHeight="true" outlineLevel="0" collapsed="false">
      <c r="A42" s="11" t="s">
        <v>36</v>
      </c>
      <c r="B42" s="11"/>
      <c r="C42" s="11"/>
      <c r="D42" s="11"/>
      <c r="E42" s="12" t="s">
        <v>11</v>
      </c>
      <c r="F42" s="13" t="n">
        <f aca="false">C392</f>
        <v>0</v>
      </c>
      <c r="G42" s="11"/>
      <c r="O42" s="14" t="s">
        <v>12</v>
      </c>
      <c r="P42" s="15" t="n">
        <f aca="false">E53</f>
        <v>1</v>
      </c>
    </row>
    <row r="43" customFormat="false" ht="30" hidden="false" customHeight="true" outlineLevel="0" collapsed="false">
      <c r="A43" s="16" t="s">
        <v>13</v>
      </c>
      <c r="B43" s="17" t="n">
        <f aca="false">$B$4</f>
        <v>10</v>
      </c>
      <c r="C43" s="18"/>
      <c r="D43" s="18"/>
      <c r="E43" s="19" t="s">
        <v>14</v>
      </c>
      <c r="F43" s="17" t="n">
        <f aca="false">IF(COUNT(E45:E52)=0,0,ROUND(MIN(E45:E52)*B43,0))</f>
        <v>10</v>
      </c>
      <c r="G43" s="18"/>
      <c r="O43" s="14" t="s">
        <v>15</v>
      </c>
      <c r="P43" s="15" t="n">
        <f aca="false">1-P42</f>
        <v>0</v>
      </c>
    </row>
    <row r="44" customFormat="false" ht="30" hidden="false" customHeight="true" outlineLevel="0" collapsed="false">
      <c r="A44" s="20" t="s">
        <v>16</v>
      </c>
      <c r="B44" s="20" t="s">
        <v>17</v>
      </c>
      <c r="C44" s="20" t="s">
        <v>18</v>
      </c>
      <c r="D44" s="20" t="s">
        <v>19</v>
      </c>
      <c r="E44" s="20" t="s">
        <v>20</v>
      </c>
      <c r="F44" s="20" t="s">
        <v>21</v>
      </c>
      <c r="G44" s="20" t="s">
        <v>22</v>
      </c>
    </row>
    <row r="45" customFormat="false" ht="15" hidden="false" customHeight="false" outlineLevel="0" collapsed="false">
      <c r="A45" s="21" t="s">
        <v>37</v>
      </c>
      <c r="B45" s="22"/>
      <c r="C45" s="23" t="str">
        <f aca="false">IF(OR(A45="",$B$53=0),"",N(B45)/$B$53)</f>
        <v/>
      </c>
      <c r="D45" s="22" t="n">
        <v>10</v>
      </c>
      <c r="E45" s="23" t="n">
        <f aca="false">IF(A45="","",IF($B$43&gt;0,MIN(1,N(D45)/$B$43),0))</f>
        <v>1</v>
      </c>
      <c r="F45" s="24" t="n">
        <f aca="false">IF(A45="","",N(B45)*$B$43)</f>
        <v>0</v>
      </c>
      <c r="G45" s="24" t="n">
        <f aca="false">IF(A45="","",N(B45)*($B$43-MIN($B$43,N(D45))))</f>
        <v>0</v>
      </c>
      <c r="O45" s="14" t="s">
        <v>24</v>
      </c>
      <c r="P45" s="25" t="n">
        <f aca="false">COUNTA(A45:A52)</f>
        <v>1</v>
      </c>
    </row>
    <row r="46" customFormat="false" ht="15" hidden="false" customHeight="false" outlineLevel="0" collapsed="false">
      <c r="A46" s="21"/>
      <c r="B46" s="22"/>
      <c r="C46" s="23" t="str">
        <f aca="false">IF(OR(A46="",$B$53=0),"",N(B46)/$B$53)</f>
        <v/>
      </c>
      <c r="D46" s="22"/>
      <c r="E46" s="23" t="str">
        <f aca="false">IF(A46="","",IF($B$43&gt;0,MIN(1,N(D46)/$B$43),0))</f>
        <v/>
      </c>
      <c r="F46" s="24" t="str">
        <f aca="false">IF(A46="","",N(B46)*$B$43)</f>
        <v/>
      </c>
      <c r="G46" s="24" t="str">
        <f aca="false">IF(A46="","",N(B46)*($B$43-MIN($B$43,N(D46))))</f>
        <v/>
      </c>
      <c r="O46" s="14" t="s">
        <v>26</v>
      </c>
      <c r="P46" s="25" t="n">
        <f aca="false">COUNTIF(E45:E52,"&gt;=1")</f>
        <v>1</v>
      </c>
    </row>
    <row r="47" customFormat="false" ht="15" hidden="false" customHeight="false" outlineLevel="0" collapsed="false">
      <c r="A47" s="21"/>
      <c r="B47" s="22"/>
      <c r="C47" s="23" t="str">
        <f aca="false">IF(OR(A47="",$B$53=0),"",N(B47)/$B$53)</f>
        <v/>
      </c>
      <c r="D47" s="22"/>
      <c r="E47" s="23" t="str">
        <f aca="false">IF(A47="","",IF($B$43&gt;0,MIN(1,N(D47)/$B$43),0))</f>
        <v/>
      </c>
      <c r="F47" s="24" t="str">
        <f aca="false">IF(A47="","",N(B47)*$B$43)</f>
        <v/>
      </c>
      <c r="G47" s="24" t="str">
        <f aca="false">IF(A47="","",N(B47)*($B$43-MIN($B$43,N(D47))))</f>
        <v/>
      </c>
    </row>
    <row r="48" customFormat="false" ht="15" hidden="false" customHeight="false" outlineLevel="0" collapsed="false">
      <c r="A48" s="21"/>
      <c r="B48" s="22"/>
      <c r="C48" s="23" t="str">
        <f aca="false">IF(OR(A48="",$B$53=0),"",N(B48)/$B$53)</f>
        <v/>
      </c>
      <c r="D48" s="22"/>
      <c r="E48" s="23" t="str">
        <f aca="false">IF(A48="","",IF($B$43&gt;0,MIN(1,N(D48)/$B$43),0))</f>
        <v/>
      </c>
      <c r="F48" s="24" t="str">
        <f aca="false">IF(A48="","",N(B48)*$B$43)</f>
        <v/>
      </c>
      <c r="G48" s="24" t="str">
        <f aca="false">IF(A48="","",N(B48)*($B$43-MIN($B$43,N(D48))))</f>
        <v/>
      </c>
    </row>
    <row r="49" customFormat="false" ht="15" hidden="false" customHeight="false" outlineLevel="0" collapsed="false">
      <c r="A49" s="21"/>
      <c r="B49" s="22"/>
      <c r="C49" s="23" t="str">
        <f aca="false">IF(OR(A49="",$B$53=0),"",N(B49)/$B$53)</f>
        <v/>
      </c>
      <c r="D49" s="22"/>
      <c r="E49" s="23" t="str">
        <f aca="false">IF(A49="","",IF($B$43&gt;0,MIN(1,N(D49)/$B$43),0))</f>
        <v/>
      </c>
      <c r="F49" s="24" t="str">
        <f aca="false">IF(A49="","",N(B49)*$B$43)</f>
        <v/>
      </c>
      <c r="G49" s="24" t="str">
        <f aca="false">IF(A49="","",N(B49)*($B$43-MIN($B$43,N(D49))))</f>
        <v/>
      </c>
    </row>
    <row r="50" customFormat="false" ht="15" hidden="false" customHeight="false" outlineLevel="0" collapsed="false">
      <c r="A50" s="21"/>
      <c r="B50" s="22"/>
      <c r="C50" s="23" t="str">
        <f aca="false">IF(OR(A50="",$B$53=0),"",N(B50)/$B$53)</f>
        <v/>
      </c>
      <c r="D50" s="22"/>
      <c r="E50" s="23" t="str">
        <f aca="false">IF(A50="","",IF($B$43&gt;0,MIN(1,N(D50)/$B$43),0))</f>
        <v/>
      </c>
      <c r="F50" s="24" t="str">
        <f aca="false">IF(A50="","",N(B50)*$B$43)</f>
        <v/>
      </c>
      <c r="G50" s="24" t="str">
        <f aca="false">IF(A50="","",N(B50)*($B$43-MIN($B$43,N(D50))))</f>
        <v/>
      </c>
    </row>
    <row r="51" customFormat="false" ht="15" hidden="false" customHeight="false" outlineLevel="0" collapsed="false">
      <c r="A51" s="21"/>
      <c r="B51" s="22"/>
      <c r="C51" s="23" t="str">
        <f aca="false">IF(OR(A51="",$B$53=0),"",N(B51)/$B$53)</f>
        <v/>
      </c>
      <c r="D51" s="22"/>
      <c r="E51" s="23" t="str">
        <f aca="false">IF(A51="","",IF($B$43&gt;0,MIN(1,N(D51)/$B$43),0))</f>
        <v/>
      </c>
      <c r="F51" s="24" t="str">
        <f aca="false">IF(A51="","",N(B51)*$B$43)</f>
        <v/>
      </c>
      <c r="G51" s="24" t="str">
        <f aca="false">IF(A51="","",N(B51)*($B$43-MIN($B$43,N(D51))))</f>
        <v/>
      </c>
    </row>
    <row r="52" customFormat="false" ht="15" hidden="false" customHeight="false" outlineLevel="0" collapsed="false">
      <c r="A52" s="21"/>
      <c r="B52" s="22"/>
      <c r="C52" s="23" t="str">
        <f aca="false">IF(OR(A52="",$B$53=0),"",N(B52)/$B$53)</f>
        <v/>
      </c>
      <c r="D52" s="22"/>
      <c r="E52" s="23" t="str">
        <f aca="false">IF(A52="","",IF($B$43&gt;0,MIN(1,N(D52)/$B$43),0))</f>
        <v/>
      </c>
      <c r="F52" s="24" t="str">
        <f aca="false">IF(A52="","",N(B52)*$B$43)</f>
        <v/>
      </c>
      <c r="G52" s="24" t="str">
        <f aca="false">IF(A52="","",N(B52)*($B$43-MIN($B$43,N(D52))))</f>
        <v/>
      </c>
    </row>
    <row r="53" customFormat="false" ht="15" hidden="false" customHeight="false" outlineLevel="0" collapsed="false">
      <c r="A53" s="18" t="s">
        <v>29</v>
      </c>
      <c r="B53" s="26" t="n">
        <f aca="false">SUM(B45:B52)</f>
        <v>0</v>
      </c>
      <c r="C53" s="27"/>
      <c r="D53" s="27"/>
      <c r="E53" s="28" t="n">
        <f aca="false">IF(B53&gt;0,SUMPRODUCT(B45:B52,E45:E52)/B53,IF(COUNT(E45:E52)=0,0,SUM(E45:E52)/COUNT(E45:E52)))</f>
        <v>1</v>
      </c>
      <c r="F53" s="17" t="n">
        <f aca="false">SUM(F45:F52)</f>
        <v>0</v>
      </c>
      <c r="G53" s="17" t="n">
        <f aca="false">SUM(G45:G52)</f>
        <v>0</v>
      </c>
    </row>
    <row r="54" customFormat="false" ht="15" hidden="false" customHeight="false" outlineLevel="0" collapsed="false">
      <c r="A54" s="18" t="s">
        <v>30</v>
      </c>
      <c r="B54" s="27"/>
      <c r="C54" s="27"/>
      <c r="D54" s="27" t="str">
        <f aca="false">F43&amp;"/"&amp;B43</f>
        <v>10/10</v>
      </c>
      <c r="E54" s="28" t="n">
        <f aca="false">IF(B43&gt;0,MIN(1,F43/B43),0)</f>
        <v>1</v>
      </c>
      <c r="F54" s="27"/>
      <c r="G54" s="27"/>
    </row>
    <row r="57" customFormat="false" ht="21.75" hidden="false" customHeight="true" outlineLevel="0" collapsed="false">
      <c r="A57" s="11" t="s">
        <v>38</v>
      </c>
      <c r="B57" s="11"/>
      <c r="C57" s="11"/>
      <c r="D57" s="11"/>
      <c r="E57" s="12" t="s">
        <v>11</v>
      </c>
      <c r="F57" s="13" t="n">
        <f aca="false">C393</f>
        <v>0</v>
      </c>
      <c r="G57" s="11"/>
      <c r="O57" s="14" t="s">
        <v>12</v>
      </c>
      <c r="P57" s="15" t="n">
        <f aca="false">E68</f>
        <v>0.6</v>
      </c>
    </row>
    <row r="58" customFormat="false" ht="30" hidden="false" customHeight="true" outlineLevel="0" collapsed="false">
      <c r="A58" s="16" t="s">
        <v>13</v>
      </c>
      <c r="B58" s="17" t="n">
        <f aca="false">$B$4</f>
        <v>10</v>
      </c>
      <c r="C58" s="18"/>
      <c r="D58" s="18"/>
      <c r="E58" s="19" t="s">
        <v>14</v>
      </c>
      <c r="F58" s="17" t="n">
        <f aca="false">IF(COUNT(E60:E67)=0,0,ROUND(MIN(E60:E67)*B58,0))</f>
        <v>4</v>
      </c>
      <c r="G58" s="18"/>
      <c r="O58" s="14" t="s">
        <v>15</v>
      </c>
      <c r="P58" s="15" t="n">
        <f aca="false">1-P57</f>
        <v>0.4</v>
      </c>
    </row>
    <row r="59" customFormat="false" ht="30" hidden="false" customHeight="true" outlineLevel="0" collapsed="false">
      <c r="A59" s="20" t="s">
        <v>16</v>
      </c>
      <c r="B59" s="20" t="s">
        <v>17</v>
      </c>
      <c r="C59" s="20" t="s">
        <v>18</v>
      </c>
      <c r="D59" s="20" t="s">
        <v>19</v>
      </c>
      <c r="E59" s="20" t="s">
        <v>20</v>
      </c>
      <c r="F59" s="20" t="s">
        <v>21</v>
      </c>
      <c r="G59" s="20" t="s">
        <v>22</v>
      </c>
    </row>
    <row r="60" customFormat="false" ht="15" hidden="false" customHeight="false" outlineLevel="0" collapsed="false">
      <c r="A60" s="21" t="s">
        <v>39</v>
      </c>
      <c r="B60" s="22" t="n">
        <v>0</v>
      </c>
      <c r="C60" s="23" t="str">
        <f aca="false">IF(OR(A60="",$B$68=0),"",N(B60)/$B$68)</f>
        <v/>
      </c>
      <c r="D60" s="22" t="n">
        <v>8</v>
      </c>
      <c r="E60" s="23" t="n">
        <f aca="false">IF(A60="","",IF($B$58&gt;0,MIN(1,N(D60)/$B$58),0))</f>
        <v>0.8</v>
      </c>
      <c r="F60" s="24" t="n">
        <f aca="false">IF(A60="","",N(B60)*$B$58)</f>
        <v>0</v>
      </c>
      <c r="G60" s="24" t="n">
        <f aca="false">IF(A60="","",N(B60)*($B$58-MIN($B$58,N(D60))))</f>
        <v>0</v>
      </c>
      <c r="O60" s="14" t="s">
        <v>24</v>
      </c>
      <c r="P60" s="25" t="n">
        <f aca="false">COUNTA(A60:A67)</f>
        <v>2</v>
      </c>
    </row>
    <row r="61" customFormat="false" ht="15" hidden="false" customHeight="false" outlineLevel="0" collapsed="false">
      <c r="A61" s="21" t="s">
        <v>40</v>
      </c>
      <c r="B61" s="22" t="n">
        <v>0</v>
      </c>
      <c r="C61" s="23" t="str">
        <f aca="false">IF(OR(A61="",$B$68=0),"",N(B61)/$B$68)</f>
        <v/>
      </c>
      <c r="D61" s="22" t="n">
        <v>4</v>
      </c>
      <c r="E61" s="23" t="n">
        <f aca="false">IF(A61="","",IF($B$58&gt;0,MIN(1,N(D61)/$B$58),0))</f>
        <v>0.4</v>
      </c>
      <c r="F61" s="24" t="n">
        <f aca="false">IF(A61="","",N(B61)*$B$58)</f>
        <v>0</v>
      </c>
      <c r="G61" s="24" t="n">
        <f aca="false">IF(A61="","",N(B61)*($B$58-MIN($B$58,N(D61))))</f>
        <v>0</v>
      </c>
      <c r="O61" s="14" t="s">
        <v>26</v>
      </c>
      <c r="P61" s="25" t="n">
        <f aca="false">COUNTIF(E60:E67,"&gt;=1")</f>
        <v>0</v>
      </c>
    </row>
    <row r="62" customFormat="false" ht="15" hidden="false" customHeight="false" outlineLevel="0" collapsed="false">
      <c r="A62" s="21"/>
      <c r="B62" s="22"/>
      <c r="C62" s="23" t="str">
        <f aca="false">IF(OR(A62="",$B$68=0),"",N(B62)/$B$68)</f>
        <v/>
      </c>
      <c r="D62" s="22"/>
      <c r="E62" s="23" t="str">
        <f aca="false">IF(A62="","",IF($B$58&gt;0,MIN(1,N(D62)/$B$58),0))</f>
        <v/>
      </c>
      <c r="F62" s="24" t="str">
        <f aca="false">IF(A62="","",N(B62)*$B$58)</f>
        <v/>
      </c>
      <c r="G62" s="24" t="str">
        <f aca="false">IF(A62="","",N(B62)*($B$58-MIN($B$58,N(D62))))</f>
        <v/>
      </c>
    </row>
    <row r="63" customFormat="false" ht="15" hidden="false" customHeight="false" outlineLevel="0" collapsed="false">
      <c r="A63" s="21"/>
      <c r="B63" s="22"/>
      <c r="C63" s="23" t="str">
        <f aca="false">IF(OR(A63="",$B$68=0),"",N(B63)/$B$68)</f>
        <v/>
      </c>
      <c r="D63" s="22"/>
      <c r="E63" s="23" t="str">
        <f aca="false">IF(A63="","",IF($B$58&gt;0,MIN(1,N(D63)/$B$58),0))</f>
        <v/>
      </c>
      <c r="F63" s="24" t="str">
        <f aca="false">IF(A63="","",N(B63)*$B$58)</f>
        <v/>
      </c>
      <c r="G63" s="24" t="str">
        <f aca="false">IF(A63="","",N(B63)*($B$58-MIN($B$58,N(D63))))</f>
        <v/>
      </c>
    </row>
    <row r="64" customFormat="false" ht="15" hidden="false" customHeight="false" outlineLevel="0" collapsed="false">
      <c r="A64" s="21"/>
      <c r="B64" s="22"/>
      <c r="C64" s="23" t="str">
        <f aca="false">IF(OR(A64="",$B$68=0),"",N(B64)/$B$68)</f>
        <v/>
      </c>
      <c r="D64" s="22"/>
      <c r="E64" s="23" t="str">
        <f aca="false">IF(A64="","",IF($B$58&gt;0,MIN(1,N(D64)/$B$58),0))</f>
        <v/>
      </c>
      <c r="F64" s="24" t="str">
        <f aca="false">IF(A64="","",N(B64)*$B$58)</f>
        <v/>
      </c>
      <c r="G64" s="24" t="str">
        <f aca="false">IF(A64="","",N(B64)*($B$58-MIN($B$58,N(D64))))</f>
        <v/>
      </c>
    </row>
    <row r="65" customFormat="false" ht="15" hidden="false" customHeight="false" outlineLevel="0" collapsed="false">
      <c r="A65" s="21"/>
      <c r="B65" s="22"/>
      <c r="C65" s="23" t="str">
        <f aca="false">IF(OR(A65="",$B$68=0),"",N(B65)/$B$68)</f>
        <v/>
      </c>
      <c r="D65" s="22"/>
      <c r="E65" s="23" t="str">
        <f aca="false">IF(A65="","",IF($B$58&gt;0,MIN(1,N(D65)/$B$58),0))</f>
        <v/>
      </c>
      <c r="F65" s="24" t="str">
        <f aca="false">IF(A65="","",N(B65)*$B$58)</f>
        <v/>
      </c>
      <c r="G65" s="24" t="str">
        <f aca="false">IF(A65="","",N(B65)*($B$58-MIN($B$58,N(D65))))</f>
        <v/>
      </c>
    </row>
    <row r="66" customFormat="false" ht="15" hidden="false" customHeight="false" outlineLevel="0" collapsed="false">
      <c r="A66" s="21"/>
      <c r="B66" s="22"/>
      <c r="C66" s="23" t="str">
        <f aca="false">IF(OR(A66="",$B$68=0),"",N(B66)/$B$68)</f>
        <v/>
      </c>
      <c r="D66" s="22"/>
      <c r="E66" s="23" t="str">
        <f aca="false">IF(A66="","",IF($B$58&gt;0,MIN(1,N(D66)/$B$58),0))</f>
        <v/>
      </c>
      <c r="F66" s="24" t="str">
        <f aca="false">IF(A66="","",N(B66)*$B$58)</f>
        <v/>
      </c>
      <c r="G66" s="24" t="str">
        <f aca="false">IF(A66="","",N(B66)*($B$58-MIN($B$58,N(D66))))</f>
        <v/>
      </c>
    </row>
    <row r="67" customFormat="false" ht="15" hidden="false" customHeight="false" outlineLevel="0" collapsed="false">
      <c r="A67" s="21"/>
      <c r="B67" s="22"/>
      <c r="C67" s="23" t="str">
        <f aca="false">IF(OR(A67="",$B$68=0),"",N(B67)/$B$68)</f>
        <v/>
      </c>
      <c r="D67" s="22"/>
      <c r="E67" s="23" t="str">
        <f aca="false">IF(A67="","",IF($B$58&gt;0,MIN(1,N(D67)/$B$58),0))</f>
        <v/>
      </c>
      <c r="F67" s="24" t="str">
        <f aca="false">IF(A67="","",N(B67)*$B$58)</f>
        <v/>
      </c>
      <c r="G67" s="24" t="str">
        <f aca="false">IF(A67="","",N(B67)*($B$58-MIN($B$58,N(D67))))</f>
        <v/>
      </c>
    </row>
    <row r="68" customFormat="false" ht="15" hidden="false" customHeight="false" outlineLevel="0" collapsed="false">
      <c r="A68" s="18" t="s">
        <v>29</v>
      </c>
      <c r="B68" s="26" t="n">
        <f aca="false">SUM(B60:B67)</f>
        <v>0</v>
      </c>
      <c r="C68" s="27"/>
      <c r="D68" s="27"/>
      <c r="E68" s="28" t="n">
        <f aca="false">IF(B68&gt;0,SUMPRODUCT(B60:B67,E60:E67)/B68,IF(COUNT(E60:E67)=0,0,SUM(E60:E67)/COUNT(E60:E67)))</f>
        <v>0.6</v>
      </c>
      <c r="F68" s="17" t="n">
        <f aca="false">SUM(F60:F67)</f>
        <v>0</v>
      </c>
      <c r="G68" s="17" t="n">
        <f aca="false">SUM(G60:G67)</f>
        <v>0</v>
      </c>
    </row>
    <row r="69" customFormat="false" ht="15" hidden="false" customHeight="false" outlineLevel="0" collapsed="false">
      <c r="A69" s="18" t="s">
        <v>30</v>
      </c>
      <c r="B69" s="27"/>
      <c r="C69" s="27"/>
      <c r="D69" s="27" t="str">
        <f aca="false">F58&amp;"/"&amp;B58</f>
        <v>4/10</v>
      </c>
      <c r="E69" s="28" t="n">
        <f aca="false">IF(B58&gt;0,MIN(1,F58/B58),0)</f>
        <v>0.4</v>
      </c>
      <c r="F69" s="27"/>
      <c r="G69" s="27"/>
    </row>
    <row r="70" customFormat="false" ht="15" hidden="false" customHeight="false" outlineLevel="0" collapsed="false">
      <c r="A70" s="29" t="s">
        <v>35</v>
      </c>
    </row>
    <row r="72" customFormat="false" ht="21.75" hidden="false" customHeight="true" outlineLevel="0" collapsed="false">
      <c r="A72" s="11" t="s">
        <v>41</v>
      </c>
      <c r="B72" s="11"/>
      <c r="C72" s="11"/>
      <c r="D72" s="11"/>
      <c r="E72" s="12" t="s">
        <v>11</v>
      </c>
      <c r="F72" s="13" t="n">
        <f aca="false">C394</f>
        <v>0</v>
      </c>
      <c r="G72" s="11"/>
      <c r="O72" s="14" t="s">
        <v>12</v>
      </c>
      <c r="P72" s="15" t="n">
        <f aca="false">E83</f>
        <v>0</v>
      </c>
    </row>
    <row r="73" customFormat="false" ht="30" hidden="false" customHeight="true" outlineLevel="0" collapsed="false">
      <c r="A73" s="16" t="s">
        <v>13</v>
      </c>
      <c r="B73" s="17" t="n">
        <f aca="false">$B$4</f>
        <v>10</v>
      </c>
      <c r="C73" s="18"/>
      <c r="D73" s="18"/>
      <c r="E73" s="19" t="s">
        <v>14</v>
      </c>
      <c r="F73" s="17" t="n">
        <f aca="false">IF(COUNT(E75:E82)=0,0,ROUND(MIN(E75:E82)*B73,0))</f>
        <v>0</v>
      </c>
      <c r="G73" s="18"/>
      <c r="O73" s="14" t="s">
        <v>15</v>
      </c>
      <c r="P73" s="15" t="n">
        <f aca="false">1-P72</f>
        <v>1</v>
      </c>
    </row>
    <row r="74" customFormat="false" ht="30" hidden="false" customHeight="true" outlineLevel="0" collapsed="false">
      <c r="A74" s="20" t="s">
        <v>16</v>
      </c>
      <c r="B74" s="20" t="s">
        <v>17</v>
      </c>
      <c r="C74" s="20" t="s">
        <v>18</v>
      </c>
      <c r="D74" s="20" t="s">
        <v>19</v>
      </c>
      <c r="E74" s="20" t="s">
        <v>20</v>
      </c>
      <c r="F74" s="20" t="s">
        <v>21</v>
      </c>
      <c r="G74" s="20" t="s">
        <v>22</v>
      </c>
    </row>
    <row r="75" customFormat="false" ht="15" hidden="false" customHeight="false" outlineLevel="0" collapsed="false">
      <c r="A75" s="21"/>
      <c r="B75" s="22"/>
      <c r="C75" s="23" t="str">
        <f aca="false">IF(OR(A75="",$B$83=0),"",N(B75)/$B$83)</f>
        <v/>
      </c>
      <c r="D75" s="22"/>
      <c r="E75" s="23" t="str">
        <f aca="false">IF(A75="","",IF($B$73&gt;0,MIN(1,N(D75)/$B$73),0))</f>
        <v/>
      </c>
      <c r="F75" s="24" t="str">
        <f aca="false">IF(A75="","",N(B75)*$B$73)</f>
        <v/>
      </c>
      <c r="G75" s="24" t="str">
        <f aca="false">IF(A75="","",N(B75)*($B$73-MIN($B$73,N(D75))))</f>
        <v/>
      </c>
      <c r="O75" s="14" t="s">
        <v>24</v>
      </c>
      <c r="P75" s="25" t="n">
        <f aca="false">COUNTA(A75:A82)</f>
        <v>0</v>
      </c>
    </row>
    <row r="76" customFormat="false" ht="15" hidden="false" customHeight="false" outlineLevel="0" collapsed="false">
      <c r="A76" s="21"/>
      <c r="B76" s="22"/>
      <c r="C76" s="23" t="str">
        <f aca="false">IF(OR(A76="",$B$83=0),"",N(B76)/$B$83)</f>
        <v/>
      </c>
      <c r="D76" s="22"/>
      <c r="E76" s="23" t="str">
        <f aca="false">IF(A76="","",IF($B$73&gt;0,MIN(1,N(D76)/$B$73),0))</f>
        <v/>
      </c>
      <c r="F76" s="24" t="str">
        <f aca="false">IF(A76="","",N(B76)*$B$73)</f>
        <v/>
      </c>
      <c r="G76" s="24" t="str">
        <f aca="false">IF(A76="","",N(B76)*($B$73-MIN($B$73,N(D76))))</f>
        <v/>
      </c>
      <c r="O76" s="14" t="s">
        <v>26</v>
      </c>
      <c r="P76" s="25" t="n">
        <f aca="false">COUNTIF(E75:E82,"&gt;=1")</f>
        <v>0</v>
      </c>
    </row>
    <row r="77" customFormat="false" ht="15" hidden="false" customHeight="false" outlineLevel="0" collapsed="false">
      <c r="A77" s="21"/>
      <c r="B77" s="22"/>
      <c r="C77" s="23" t="str">
        <f aca="false">IF(OR(A77="",$B$83=0),"",N(B77)/$B$83)</f>
        <v/>
      </c>
      <c r="D77" s="22"/>
      <c r="E77" s="23" t="str">
        <f aca="false">IF(A77="","",IF($B$73&gt;0,MIN(1,N(D77)/$B$73),0))</f>
        <v/>
      </c>
      <c r="F77" s="24" t="str">
        <f aca="false">IF(A77="","",N(B77)*$B$73)</f>
        <v/>
      </c>
      <c r="G77" s="24" t="str">
        <f aca="false">IF(A77="","",N(B77)*($B$73-MIN($B$73,N(D77))))</f>
        <v/>
      </c>
    </row>
    <row r="78" customFormat="false" ht="15" hidden="false" customHeight="false" outlineLevel="0" collapsed="false">
      <c r="A78" s="21"/>
      <c r="B78" s="22"/>
      <c r="C78" s="23" t="str">
        <f aca="false">IF(OR(A78="",$B$83=0),"",N(B78)/$B$83)</f>
        <v/>
      </c>
      <c r="D78" s="22"/>
      <c r="E78" s="23" t="str">
        <f aca="false">IF(A78="","",IF($B$73&gt;0,MIN(1,N(D78)/$B$73),0))</f>
        <v/>
      </c>
      <c r="F78" s="24" t="str">
        <f aca="false">IF(A78="","",N(B78)*$B$73)</f>
        <v/>
      </c>
      <c r="G78" s="24" t="str">
        <f aca="false">IF(A78="","",N(B78)*($B$73-MIN($B$73,N(D78))))</f>
        <v/>
      </c>
    </row>
    <row r="79" customFormat="false" ht="15" hidden="false" customHeight="false" outlineLevel="0" collapsed="false">
      <c r="A79" s="21"/>
      <c r="B79" s="22"/>
      <c r="C79" s="23" t="str">
        <f aca="false">IF(OR(A79="",$B$83=0),"",N(B79)/$B$83)</f>
        <v/>
      </c>
      <c r="D79" s="22"/>
      <c r="E79" s="23" t="str">
        <f aca="false">IF(A79="","",IF($B$73&gt;0,MIN(1,N(D79)/$B$73),0))</f>
        <v/>
      </c>
      <c r="F79" s="24" t="str">
        <f aca="false">IF(A79="","",N(B79)*$B$73)</f>
        <v/>
      </c>
      <c r="G79" s="24" t="str">
        <f aca="false">IF(A79="","",N(B79)*($B$73-MIN($B$73,N(D79))))</f>
        <v/>
      </c>
    </row>
    <row r="80" customFormat="false" ht="15" hidden="false" customHeight="false" outlineLevel="0" collapsed="false">
      <c r="A80" s="21"/>
      <c r="B80" s="22"/>
      <c r="C80" s="23" t="str">
        <f aca="false">IF(OR(A80="",$B$83=0),"",N(B80)/$B$83)</f>
        <v/>
      </c>
      <c r="D80" s="22"/>
      <c r="E80" s="23" t="str">
        <f aca="false">IF(A80="","",IF($B$73&gt;0,MIN(1,N(D80)/$B$73),0))</f>
        <v/>
      </c>
      <c r="F80" s="24" t="str">
        <f aca="false">IF(A80="","",N(B80)*$B$73)</f>
        <v/>
      </c>
      <c r="G80" s="24" t="str">
        <f aca="false">IF(A80="","",N(B80)*($B$73-MIN($B$73,N(D80))))</f>
        <v/>
      </c>
    </row>
    <row r="81" customFormat="false" ht="15" hidden="false" customHeight="false" outlineLevel="0" collapsed="false">
      <c r="A81" s="21"/>
      <c r="B81" s="22"/>
      <c r="C81" s="23" t="str">
        <f aca="false">IF(OR(A81="",$B$83=0),"",N(B81)/$B$83)</f>
        <v/>
      </c>
      <c r="D81" s="22"/>
      <c r="E81" s="23" t="str">
        <f aca="false">IF(A81="","",IF($B$73&gt;0,MIN(1,N(D81)/$B$73),0))</f>
        <v/>
      </c>
      <c r="F81" s="24" t="str">
        <f aca="false">IF(A81="","",N(B81)*$B$73)</f>
        <v/>
      </c>
      <c r="G81" s="24" t="str">
        <f aca="false">IF(A81="","",N(B81)*($B$73-MIN($B$73,N(D81))))</f>
        <v/>
      </c>
    </row>
    <row r="82" customFormat="false" ht="15" hidden="false" customHeight="false" outlineLevel="0" collapsed="false">
      <c r="A82" s="21"/>
      <c r="B82" s="22"/>
      <c r="C82" s="23" t="str">
        <f aca="false">IF(OR(A82="",$B$83=0),"",N(B82)/$B$83)</f>
        <v/>
      </c>
      <c r="D82" s="22"/>
      <c r="E82" s="23" t="str">
        <f aca="false">IF(A82="","",IF($B$73&gt;0,MIN(1,N(D82)/$B$73),0))</f>
        <v/>
      </c>
      <c r="F82" s="24" t="str">
        <f aca="false">IF(A82="","",N(B82)*$B$73)</f>
        <v/>
      </c>
      <c r="G82" s="24" t="str">
        <f aca="false">IF(A82="","",N(B82)*($B$73-MIN($B$73,N(D82))))</f>
        <v/>
      </c>
    </row>
    <row r="83" customFormat="false" ht="15" hidden="false" customHeight="false" outlineLevel="0" collapsed="false">
      <c r="A83" s="18" t="s">
        <v>29</v>
      </c>
      <c r="B83" s="26" t="n">
        <f aca="false">SUM(B75:B82)</f>
        <v>0</v>
      </c>
      <c r="C83" s="27"/>
      <c r="D83" s="27"/>
      <c r="E83" s="28" t="n">
        <f aca="false">IF(B83&gt;0,SUMPRODUCT(B75:B82,E75:E82)/B83,IF(COUNT(E75:E82)=0,0,SUM(E75:E82)/COUNT(E75:E82)))</f>
        <v>0</v>
      </c>
      <c r="F83" s="17" t="n">
        <f aca="false">SUM(F75:F82)</f>
        <v>0</v>
      </c>
      <c r="G83" s="17" t="n">
        <f aca="false">SUM(G75:G82)</f>
        <v>0</v>
      </c>
    </row>
    <row r="84" customFormat="false" ht="15" hidden="false" customHeight="false" outlineLevel="0" collapsed="false">
      <c r="A84" s="18" t="s">
        <v>30</v>
      </c>
      <c r="B84" s="27"/>
      <c r="C84" s="27"/>
      <c r="D84" s="27" t="str">
        <f aca="false">F73&amp;"/"&amp;B73</f>
        <v>0/10</v>
      </c>
      <c r="E84" s="28" t="n">
        <f aca="false">IF(B73&gt;0,MIN(1,F73/B73),0)</f>
        <v>0</v>
      </c>
      <c r="F84" s="27"/>
      <c r="G84" s="27"/>
    </row>
    <row r="87" customFormat="false" ht="21.75" hidden="false" customHeight="true" outlineLevel="0" collapsed="false">
      <c r="A87" s="11" t="s">
        <v>42</v>
      </c>
      <c r="B87" s="11"/>
      <c r="C87" s="11"/>
      <c r="D87" s="11"/>
      <c r="E87" s="12" t="s">
        <v>11</v>
      </c>
      <c r="F87" s="13" t="n">
        <f aca="false">C395</f>
        <v>0</v>
      </c>
      <c r="G87" s="11"/>
      <c r="O87" s="14" t="s">
        <v>12</v>
      </c>
      <c r="P87" s="15" t="n">
        <f aca="false">E98</f>
        <v>0</v>
      </c>
    </row>
    <row r="88" customFormat="false" ht="30" hidden="false" customHeight="true" outlineLevel="0" collapsed="false">
      <c r="A88" s="16" t="s">
        <v>13</v>
      </c>
      <c r="B88" s="17" t="n">
        <f aca="false">$B$4</f>
        <v>10</v>
      </c>
      <c r="C88" s="18"/>
      <c r="D88" s="18"/>
      <c r="E88" s="19" t="s">
        <v>14</v>
      </c>
      <c r="F88" s="17" t="n">
        <f aca="false">IF(COUNT(E90:E97)=0,0,ROUND(MIN(E90:E97)*B88,0))</f>
        <v>0</v>
      </c>
      <c r="G88" s="18"/>
      <c r="O88" s="14" t="s">
        <v>15</v>
      </c>
      <c r="P88" s="15" t="n">
        <f aca="false">1-P87</f>
        <v>1</v>
      </c>
    </row>
    <row r="89" customFormat="false" ht="30" hidden="false" customHeight="true" outlineLevel="0" collapsed="false">
      <c r="A89" s="20" t="s">
        <v>16</v>
      </c>
      <c r="B89" s="20" t="s">
        <v>17</v>
      </c>
      <c r="C89" s="20" t="s">
        <v>18</v>
      </c>
      <c r="D89" s="20" t="s">
        <v>19</v>
      </c>
      <c r="E89" s="20" t="s">
        <v>20</v>
      </c>
      <c r="F89" s="20" t="s">
        <v>21</v>
      </c>
      <c r="G89" s="20" t="s">
        <v>22</v>
      </c>
    </row>
    <row r="90" customFormat="false" ht="15" hidden="false" customHeight="false" outlineLevel="0" collapsed="false">
      <c r="A90" s="21"/>
      <c r="B90" s="22"/>
      <c r="C90" s="23" t="str">
        <f aca="false">IF(OR(A90="",$B$98=0),"",N(B90)/$B$98)</f>
        <v/>
      </c>
      <c r="D90" s="22"/>
      <c r="E90" s="23" t="str">
        <f aca="false">IF(A90="","",IF($B$88&gt;0,MIN(1,N(D90)/$B$88),0))</f>
        <v/>
      </c>
      <c r="F90" s="24" t="str">
        <f aca="false">IF(A90="","",N(B90)*$B$88)</f>
        <v/>
      </c>
      <c r="G90" s="24" t="str">
        <f aca="false">IF(A90="","",N(B90)*($B$88-MIN($B$88,N(D90))))</f>
        <v/>
      </c>
      <c r="O90" s="14" t="s">
        <v>24</v>
      </c>
      <c r="P90" s="25" t="n">
        <f aca="false">COUNTA(A90:A97)</f>
        <v>0</v>
      </c>
    </row>
    <row r="91" customFormat="false" ht="15" hidden="false" customHeight="false" outlineLevel="0" collapsed="false">
      <c r="A91" s="21"/>
      <c r="B91" s="22"/>
      <c r="C91" s="23" t="str">
        <f aca="false">IF(OR(A91="",$B$98=0),"",N(B91)/$B$98)</f>
        <v/>
      </c>
      <c r="D91" s="22"/>
      <c r="E91" s="23" t="str">
        <f aca="false">IF(A91="","",IF($B$88&gt;0,MIN(1,N(D91)/$B$88),0))</f>
        <v/>
      </c>
      <c r="F91" s="24" t="str">
        <f aca="false">IF(A91="","",N(B91)*$B$88)</f>
        <v/>
      </c>
      <c r="G91" s="24" t="str">
        <f aca="false">IF(A91="","",N(B91)*($B$88-MIN($B$88,N(D91))))</f>
        <v/>
      </c>
      <c r="O91" s="14" t="s">
        <v>26</v>
      </c>
      <c r="P91" s="25" t="n">
        <f aca="false">COUNTIF(E90:E97,"&gt;=1")</f>
        <v>0</v>
      </c>
    </row>
    <row r="92" customFormat="false" ht="15" hidden="false" customHeight="false" outlineLevel="0" collapsed="false">
      <c r="A92" s="21"/>
      <c r="B92" s="22"/>
      <c r="C92" s="23" t="str">
        <f aca="false">IF(OR(A92="",$B$98=0),"",N(B92)/$B$98)</f>
        <v/>
      </c>
      <c r="D92" s="22"/>
      <c r="E92" s="23" t="str">
        <f aca="false">IF(A92="","",IF($B$88&gt;0,MIN(1,N(D92)/$B$88),0))</f>
        <v/>
      </c>
      <c r="F92" s="24" t="str">
        <f aca="false">IF(A92="","",N(B92)*$B$88)</f>
        <v/>
      </c>
      <c r="G92" s="24" t="str">
        <f aca="false">IF(A92="","",N(B92)*($B$88-MIN($B$88,N(D92))))</f>
        <v/>
      </c>
    </row>
    <row r="93" customFormat="false" ht="15" hidden="false" customHeight="false" outlineLevel="0" collapsed="false">
      <c r="A93" s="21"/>
      <c r="B93" s="22"/>
      <c r="C93" s="23" t="str">
        <f aca="false">IF(OR(A93="",$B$98=0),"",N(B93)/$B$98)</f>
        <v/>
      </c>
      <c r="D93" s="22"/>
      <c r="E93" s="23" t="str">
        <f aca="false">IF(A93="","",IF($B$88&gt;0,MIN(1,N(D93)/$B$88),0))</f>
        <v/>
      </c>
      <c r="F93" s="24" t="str">
        <f aca="false">IF(A93="","",N(B93)*$B$88)</f>
        <v/>
      </c>
      <c r="G93" s="24" t="str">
        <f aca="false">IF(A93="","",N(B93)*($B$88-MIN($B$88,N(D93))))</f>
        <v/>
      </c>
    </row>
    <row r="94" customFormat="false" ht="15" hidden="false" customHeight="false" outlineLevel="0" collapsed="false">
      <c r="A94" s="21"/>
      <c r="B94" s="22"/>
      <c r="C94" s="23" t="str">
        <f aca="false">IF(OR(A94="",$B$98=0),"",N(B94)/$B$98)</f>
        <v/>
      </c>
      <c r="D94" s="22"/>
      <c r="E94" s="23" t="str">
        <f aca="false">IF(A94="","",IF($B$88&gt;0,MIN(1,N(D94)/$B$88),0))</f>
        <v/>
      </c>
      <c r="F94" s="24" t="str">
        <f aca="false">IF(A94="","",N(B94)*$B$88)</f>
        <v/>
      </c>
      <c r="G94" s="24" t="str">
        <f aca="false">IF(A94="","",N(B94)*($B$88-MIN($B$88,N(D94))))</f>
        <v/>
      </c>
    </row>
    <row r="95" customFormat="false" ht="15" hidden="false" customHeight="false" outlineLevel="0" collapsed="false">
      <c r="A95" s="21"/>
      <c r="B95" s="22"/>
      <c r="C95" s="23" t="str">
        <f aca="false">IF(OR(A95="",$B$98=0),"",N(B95)/$B$98)</f>
        <v/>
      </c>
      <c r="D95" s="22"/>
      <c r="E95" s="23" t="str">
        <f aca="false">IF(A95="","",IF($B$88&gt;0,MIN(1,N(D95)/$B$88),0))</f>
        <v/>
      </c>
      <c r="F95" s="24" t="str">
        <f aca="false">IF(A95="","",N(B95)*$B$88)</f>
        <v/>
      </c>
      <c r="G95" s="24" t="str">
        <f aca="false">IF(A95="","",N(B95)*($B$88-MIN($B$88,N(D95))))</f>
        <v/>
      </c>
    </row>
    <row r="96" customFormat="false" ht="15" hidden="false" customHeight="false" outlineLevel="0" collapsed="false">
      <c r="A96" s="21"/>
      <c r="B96" s="22"/>
      <c r="C96" s="23" t="str">
        <f aca="false">IF(OR(A96="",$B$98=0),"",N(B96)/$B$98)</f>
        <v/>
      </c>
      <c r="D96" s="22"/>
      <c r="E96" s="23" t="str">
        <f aca="false">IF(A96="","",IF($B$88&gt;0,MIN(1,N(D96)/$B$88),0))</f>
        <v/>
      </c>
      <c r="F96" s="24" t="str">
        <f aca="false">IF(A96="","",N(B96)*$B$88)</f>
        <v/>
      </c>
      <c r="G96" s="24" t="str">
        <f aca="false">IF(A96="","",N(B96)*($B$88-MIN($B$88,N(D96))))</f>
        <v/>
      </c>
    </row>
    <row r="97" customFormat="false" ht="15" hidden="false" customHeight="false" outlineLevel="0" collapsed="false">
      <c r="A97" s="21"/>
      <c r="B97" s="22"/>
      <c r="C97" s="23" t="str">
        <f aca="false">IF(OR(A97="",$B$98=0),"",N(B97)/$B$98)</f>
        <v/>
      </c>
      <c r="D97" s="22"/>
      <c r="E97" s="23" t="str">
        <f aca="false">IF(A97="","",IF($B$88&gt;0,MIN(1,N(D97)/$B$88),0))</f>
        <v/>
      </c>
      <c r="F97" s="24" t="str">
        <f aca="false">IF(A97="","",N(B97)*$B$88)</f>
        <v/>
      </c>
      <c r="G97" s="24" t="str">
        <f aca="false">IF(A97="","",N(B97)*($B$88-MIN($B$88,N(D97))))</f>
        <v/>
      </c>
    </row>
    <row r="98" customFormat="false" ht="15" hidden="false" customHeight="false" outlineLevel="0" collapsed="false">
      <c r="A98" s="18" t="s">
        <v>29</v>
      </c>
      <c r="B98" s="26" t="n">
        <f aca="false">SUM(B90:B97)</f>
        <v>0</v>
      </c>
      <c r="C98" s="27"/>
      <c r="D98" s="27"/>
      <c r="E98" s="28" t="n">
        <f aca="false">IF(B98&gt;0,SUMPRODUCT(B90:B97,E90:E97)/B98,IF(COUNT(E90:E97)=0,0,SUM(E90:E97)/COUNT(E90:E97)))</f>
        <v>0</v>
      </c>
      <c r="F98" s="17" t="n">
        <f aca="false">SUM(F90:F97)</f>
        <v>0</v>
      </c>
      <c r="G98" s="17" t="n">
        <f aca="false">SUM(G90:G97)</f>
        <v>0</v>
      </c>
    </row>
    <row r="99" customFormat="false" ht="15" hidden="false" customHeight="false" outlineLevel="0" collapsed="false">
      <c r="A99" s="18" t="s">
        <v>30</v>
      </c>
      <c r="B99" s="27"/>
      <c r="C99" s="27"/>
      <c r="D99" s="27" t="str">
        <f aca="false">F88&amp;"/"&amp;B88</f>
        <v>0/10</v>
      </c>
      <c r="E99" s="28" t="n">
        <f aca="false">IF(B88&gt;0,MIN(1,F88/B88),0)</f>
        <v>0</v>
      </c>
      <c r="F99" s="27"/>
      <c r="G99" s="27"/>
    </row>
    <row r="102" customFormat="false" ht="21.75" hidden="false" customHeight="true" outlineLevel="0" collapsed="false">
      <c r="A102" s="11" t="s">
        <v>43</v>
      </c>
      <c r="B102" s="11"/>
      <c r="C102" s="11"/>
      <c r="D102" s="11"/>
      <c r="E102" s="12" t="s">
        <v>11</v>
      </c>
      <c r="F102" s="13" t="n">
        <f aca="false">C396</f>
        <v>0</v>
      </c>
      <c r="G102" s="11"/>
      <c r="O102" s="14" t="s">
        <v>12</v>
      </c>
      <c r="P102" s="15" t="n">
        <f aca="false">E113</f>
        <v>0</v>
      </c>
    </row>
    <row r="103" customFormat="false" ht="30" hidden="false" customHeight="true" outlineLevel="0" collapsed="false">
      <c r="A103" s="16" t="s">
        <v>13</v>
      </c>
      <c r="B103" s="17" t="n">
        <f aca="false">$B$4</f>
        <v>10</v>
      </c>
      <c r="C103" s="18"/>
      <c r="D103" s="18"/>
      <c r="E103" s="19" t="s">
        <v>14</v>
      </c>
      <c r="F103" s="17" t="n">
        <f aca="false">IF(COUNT(E105:E112)=0,0,ROUND(MIN(E105:E112)*B103,0))</f>
        <v>0</v>
      </c>
      <c r="G103" s="18"/>
      <c r="O103" s="14" t="s">
        <v>15</v>
      </c>
      <c r="P103" s="15" t="n">
        <f aca="false">1-P102</f>
        <v>1</v>
      </c>
    </row>
    <row r="104" customFormat="false" ht="30" hidden="false" customHeight="true" outlineLevel="0" collapsed="false">
      <c r="A104" s="20" t="s">
        <v>16</v>
      </c>
      <c r="B104" s="20" t="s">
        <v>17</v>
      </c>
      <c r="C104" s="20" t="s">
        <v>18</v>
      </c>
      <c r="D104" s="20" t="s">
        <v>19</v>
      </c>
      <c r="E104" s="20" t="s">
        <v>20</v>
      </c>
      <c r="F104" s="20" t="s">
        <v>21</v>
      </c>
      <c r="G104" s="20" t="s">
        <v>22</v>
      </c>
    </row>
    <row r="105" customFormat="false" ht="15" hidden="false" customHeight="false" outlineLevel="0" collapsed="false">
      <c r="A105" s="21"/>
      <c r="B105" s="22"/>
      <c r="C105" s="23" t="str">
        <f aca="false">IF(OR(A105="",$B$113=0),"",N(B105)/$B$113)</f>
        <v/>
      </c>
      <c r="D105" s="22"/>
      <c r="E105" s="23" t="str">
        <f aca="false">IF(A105="","",IF($B$103&gt;0,MIN(1,N(D105)/$B$103),0))</f>
        <v/>
      </c>
      <c r="F105" s="24" t="str">
        <f aca="false">IF(A105="","",N(B105)*$B$103)</f>
        <v/>
      </c>
      <c r="G105" s="24" t="str">
        <f aca="false">IF(A105="","",N(B105)*($B$103-MIN($B$103,N(D105))))</f>
        <v/>
      </c>
      <c r="O105" s="14" t="s">
        <v>24</v>
      </c>
      <c r="P105" s="25" t="n">
        <f aca="false">COUNTA(A105:A112)</f>
        <v>0</v>
      </c>
    </row>
    <row r="106" customFormat="false" ht="15" hidden="false" customHeight="false" outlineLevel="0" collapsed="false">
      <c r="A106" s="21"/>
      <c r="B106" s="22"/>
      <c r="C106" s="23" t="str">
        <f aca="false">IF(OR(A106="",$B$113=0),"",N(B106)/$B$113)</f>
        <v/>
      </c>
      <c r="D106" s="22"/>
      <c r="E106" s="23" t="str">
        <f aca="false">IF(A106="","",IF($B$103&gt;0,MIN(1,N(D106)/$B$103),0))</f>
        <v/>
      </c>
      <c r="F106" s="24" t="str">
        <f aca="false">IF(A106="","",N(B106)*$B$103)</f>
        <v/>
      </c>
      <c r="G106" s="24" t="str">
        <f aca="false">IF(A106="","",N(B106)*($B$103-MIN($B$103,N(D106))))</f>
        <v/>
      </c>
      <c r="O106" s="14" t="s">
        <v>26</v>
      </c>
      <c r="P106" s="25" t="n">
        <f aca="false">COUNTIF(E105:E112,"&gt;=1")</f>
        <v>0</v>
      </c>
    </row>
    <row r="107" customFormat="false" ht="15" hidden="false" customHeight="false" outlineLevel="0" collapsed="false">
      <c r="A107" s="21"/>
      <c r="B107" s="22"/>
      <c r="C107" s="23" t="str">
        <f aca="false">IF(OR(A107="",$B$113=0),"",N(B107)/$B$113)</f>
        <v/>
      </c>
      <c r="D107" s="22"/>
      <c r="E107" s="23" t="str">
        <f aca="false">IF(A107="","",IF($B$103&gt;0,MIN(1,N(D107)/$B$103),0))</f>
        <v/>
      </c>
      <c r="F107" s="24" t="str">
        <f aca="false">IF(A107="","",N(B107)*$B$103)</f>
        <v/>
      </c>
      <c r="G107" s="24" t="str">
        <f aca="false">IF(A107="","",N(B107)*($B$103-MIN($B$103,N(D107))))</f>
        <v/>
      </c>
    </row>
    <row r="108" customFormat="false" ht="15" hidden="false" customHeight="false" outlineLevel="0" collapsed="false">
      <c r="A108" s="21"/>
      <c r="B108" s="22"/>
      <c r="C108" s="23" t="str">
        <f aca="false">IF(OR(A108="",$B$113=0),"",N(B108)/$B$113)</f>
        <v/>
      </c>
      <c r="D108" s="22"/>
      <c r="E108" s="23" t="str">
        <f aca="false">IF(A108="","",IF($B$103&gt;0,MIN(1,N(D108)/$B$103),0))</f>
        <v/>
      </c>
      <c r="F108" s="24" t="str">
        <f aca="false">IF(A108="","",N(B108)*$B$103)</f>
        <v/>
      </c>
      <c r="G108" s="24" t="str">
        <f aca="false">IF(A108="","",N(B108)*($B$103-MIN($B$103,N(D108))))</f>
        <v/>
      </c>
    </row>
    <row r="109" customFormat="false" ht="15" hidden="false" customHeight="false" outlineLevel="0" collapsed="false">
      <c r="A109" s="21"/>
      <c r="B109" s="22"/>
      <c r="C109" s="23" t="str">
        <f aca="false">IF(OR(A109="",$B$113=0),"",N(B109)/$B$113)</f>
        <v/>
      </c>
      <c r="D109" s="22"/>
      <c r="E109" s="23" t="str">
        <f aca="false">IF(A109="","",IF($B$103&gt;0,MIN(1,N(D109)/$B$103),0))</f>
        <v/>
      </c>
      <c r="F109" s="24" t="str">
        <f aca="false">IF(A109="","",N(B109)*$B$103)</f>
        <v/>
      </c>
      <c r="G109" s="24" t="str">
        <f aca="false">IF(A109="","",N(B109)*($B$103-MIN($B$103,N(D109))))</f>
        <v/>
      </c>
    </row>
    <row r="110" customFormat="false" ht="15" hidden="false" customHeight="false" outlineLevel="0" collapsed="false">
      <c r="A110" s="21"/>
      <c r="B110" s="22"/>
      <c r="C110" s="23" t="str">
        <f aca="false">IF(OR(A110="",$B$113=0),"",N(B110)/$B$113)</f>
        <v/>
      </c>
      <c r="D110" s="22"/>
      <c r="E110" s="23" t="str">
        <f aca="false">IF(A110="","",IF($B$103&gt;0,MIN(1,N(D110)/$B$103),0))</f>
        <v/>
      </c>
      <c r="F110" s="24" t="str">
        <f aca="false">IF(A110="","",N(B110)*$B$103)</f>
        <v/>
      </c>
      <c r="G110" s="24" t="str">
        <f aca="false">IF(A110="","",N(B110)*($B$103-MIN($B$103,N(D110))))</f>
        <v/>
      </c>
    </row>
    <row r="111" customFormat="false" ht="15" hidden="false" customHeight="false" outlineLevel="0" collapsed="false">
      <c r="A111" s="21"/>
      <c r="B111" s="22"/>
      <c r="C111" s="23" t="str">
        <f aca="false">IF(OR(A111="",$B$113=0),"",N(B111)/$B$113)</f>
        <v/>
      </c>
      <c r="D111" s="22"/>
      <c r="E111" s="23" t="str">
        <f aca="false">IF(A111="","",IF($B$103&gt;0,MIN(1,N(D111)/$B$103),0))</f>
        <v/>
      </c>
      <c r="F111" s="24" t="str">
        <f aca="false">IF(A111="","",N(B111)*$B$103)</f>
        <v/>
      </c>
      <c r="G111" s="24" t="str">
        <f aca="false">IF(A111="","",N(B111)*($B$103-MIN($B$103,N(D111))))</f>
        <v/>
      </c>
    </row>
    <row r="112" customFormat="false" ht="15" hidden="false" customHeight="false" outlineLevel="0" collapsed="false">
      <c r="A112" s="21"/>
      <c r="B112" s="22"/>
      <c r="C112" s="23" t="str">
        <f aca="false">IF(OR(A112="",$B$113=0),"",N(B112)/$B$113)</f>
        <v/>
      </c>
      <c r="D112" s="22"/>
      <c r="E112" s="23" t="str">
        <f aca="false">IF(A112="","",IF($B$103&gt;0,MIN(1,N(D112)/$B$103),0))</f>
        <v/>
      </c>
      <c r="F112" s="24" t="str">
        <f aca="false">IF(A112="","",N(B112)*$B$103)</f>
        <v/>
      </c>
      <c r="G112" s="24" t="str">
        <f aca="false">IF(A112="","",N(B112)*($B$103-MIN($B$103,N(D112))))</f>
        <v/>
      </c>
    </row>
    <row r="113" customFormat="false" ht="15" hidden="false" customHeight="false" outlineLevel="0" collapsed="false">
      <c r="A113" s="18" t="s">
        <v>29</v>
      </c>
      <c r="B113" s="26" t="n">
        <f aca="false">SUM(B105:B112)</f>
        <v>0</v>
      </c>
      <c r="C113" s="27"/>
      <c r="D113" s="27"/>
      <c r="E113" s="28" t="n">
        <f aca="false">IF(B113&gt;0,SUMPRODUCT(B105:B112,E105:E112)/B113,IF(COUNT(E105:E112)=0,0,SUM(E105:E112)/COUNT(E105:E112)))</f>
        <v>0</v>
      </c>
      <c r="F113" s="17" t="n">
        <f aca="false">SUM(F105:F112)</f>
        <v>0</v>
      </c>
      <c r="G113" s="17" t="n">
        <f aca="false">SUM(G105:G112)</f>
        <v>0</v>
      </c>
    </row>
    <row r="114" customFormat="false" ht="15" hidden="false" customHeight="false" outlineLevel="0" collapsed="false">
      <c r="A114" s="18" t="s">
        <v>30</v>
      </c>
      <c r="B114" s="27"/>
      <c r="C114" s="27"/>
      <c r="D114" s="27" t="str">
        <f aca="false">F103&amp;"/"&amp;B103</f>
        <v>0/10</v>
      </c>
      <c r="E114" s="28" t="n">
        <f aca="false">IF(B103&gt;0,MIN(1,F103/B103),0)</f>
        <v>0</v>
      </c>
      <c r="F114" s="27"/>
      <c r="G114" s="27"/>
    </row>
    <row r="117" customFormat="false" ht="21.75" hidden="false" customHeight="true" outlineLevel="0" collapsed="false">
      <c r="A117" s="11" t="s">
        <v>44</v>
      </c>
      <c r="B117" s="11"/>
      <c r="C117" s="11"/>
      <c r="D117" s="11"/>
      <c r="E117" s="12" t="s">
        <v>11</v>
      </c>
      <c r="F117" s="13" t="n">
        <f aca="false">C397</f>
        <v>0</v>
      </c>
      <c r="G117" s="11"/>
      <c r="O117" s="14" t="s">
        <v>12</v>
      </c>
      <c r="P117" s="15" t="n">
        <f aca="false">E128</f>
        <v>0</v>
      </c>
    </row>
    <row r="118" customFormat="false" ht="30" hidden="false" customHeight="true" outlineLevel="0" collapsed="false">
      <c r="A118" s="16" t="s">
        <v>13</v>
      </c>
      <c r="B118" s="17" t="n">
        <f aca="false">$B$4</f>
        <v>10</v>
      </c>
      <c r="C118" s="18"/>
      <c r="D118" s="18"/>
      <c r="E118" s="19" t="s">
        <v>14</v>
      </c>
      <c r="F118" s="17" t="n">
        <f aca="false">IF(COUNT(E120:E127)=0,0,ROUND(MIN(E120:E127)*B118,0))</f>
        <v>0</v>
      </c>
      <c r="G118" s="18"/>
      <c r="O118" s="14" t="s">
        <v>15</v>
      </c>
      <c r="P118" s="15" t="n">
        <f aca="false">1-P117</f>
        <v>1</v>
      </c>
    </row>
    <row r="119" customFormat="false" ht="30" hidden="false" customHeight="true" outlineLevel="0" collapsed="false">
      <c r="A119" s="20" t="s">
        <v>16</v>
      </c>
      <c r="B119" s="20" t="s">
        <v>17</v>
      </c>
      <c r="C119" s="20" t="s">
        <v>18</v>
      </c>
      <c r="D119" s="20" t="s">
        <v>19</v>
      </c>
      <c r="E119" s="20" t="s">
        <v>20</v>
      </c>
      <c r="F119" s="20" t="s">
        <v>21</v>
      </c>
      <c r="G119" s="20" t="s">
        <v>22</v>
      </c>
    </row>
    <row r="120" customFormat="false" ht="15" hidden="false" customHeight="false" outlineLevel="0" collapsed="false">
      <c r="A120" s="21"/>
      <c r="B120" s="22"/>
      <c r="C120" s="23" t="str">
        <f aca="false">IF(OR(A120="",$B$128=0),"",N(B120)/$B$128)</f>
        <v/>
      </c>
      <c r="D120" s="22"/>
      <c r="E120" s="23" t="str">
        <f aca="false">IF(A120="","",IF($B$118&gt;0,MIN(1,N(D120)/$B$118),0))</f>
        <v/>
      </c>
      <c r="F120" s="24" t="str">
        <f aca="false">IF(A120="","",N(B120)*$B$118)</f>
        <v/>
      </c>
      <c r="G120" s="24" t="str">
        <f aca="false">IF(A120="","",N(B120)*($B$118-MIN($B$118,N(D120))))</f>
        <v/>
      </c>
      <c r="O120" s="14" t="s">
        <v>24</v>
      </c>
      <c r="P120" s="25" t="n">
        <f aca="false">COUNTA(A120:A127)</f>
        <v>0</v>
      </c>
    </row>
    <row r="121" customFormat="false" ht="15" hidden="false" customHeight="false" outlineLevel="0" collapsed="false">
      <c r="A121" s="21"/>
      <c r="B121" s="22"/>
      <c r="C121" s="23" t="str">
        <f aca="false">IF(OR(A121="",$B$128=0),"",N(B121)/$B$128)</f>
        <v/>
      </c>
      <c r="D121" s="22"/>
      <c r="E121" s="23" t="str">
        <f aca="false">IF(A121="","",IF($B$118&gt;0,MIN(1,N(D121)/$B$118),0))</f>
        <v/>
      </c>
      <c r="F121" s="24" t="str">
        <f aca="false">IF(A121="","",N(B121)*$B$118)</f>
        <v/>
      </c>
      <c r="G121" s="24" t="str">
        <f aca="false">IF(A121="","",N(B121)*($B$118-MIN($B$118,N(D121))))</f>
        <v/>
      </c>
      <c r="O121" s="14" t="s">
        <v>26</v>
      </c>
      <c r="P121" s="25" t="n">
        <f aca="false">COUNTIF(E120:E127,"&gt;=1")</f>
        <v>0</v>
      </c>
    </row>
    <row r="122" customFormat="false" ht="15" hidden="false" customHeight="false" outlineLevel="0" collapsed="false">
      <c r="A122" s="21"/>
      <c r="B122" s="22"/>
      <c r="C122" s="23" t="str">
        <f aca="false">IF(OR(A122="",$B$128=0),"",N(B122)/$B$128)</f>
        <v/>
      </c>
      <c r="D122" s="22"/>
      <c r="E122" s="23" t="str">
        <f aca="false">IF(A122="","",IF($B$118&gt;0,MIN(1,N(D122)/$B$118),0))</f>
        <v/>
      </c>
      <c r="F122" s="24" t="str">
        <f aca="false">IF(A122="","",N(B122)*$B$118)</f>
        <v/>
      </c>
      <c r="G122" s="24" t="str">
        <f aca="false">IF(A122="","",N(B122)*($B$118-MIN($B$118,N(D122))))</f>
        <v/>
      </c>
    </row>
    <row r="123" customFormat="false" ht="15" hidden="false" customHeight="false" outlineLevel="0" collapsed="false">
      <c r="A123" s="21"/>
      <c r="B123" s="22"/>
      <c r="C123" s="23" t="str">
        <f aca="false">IF(OR(A123="",$B$128=0),"",N(B123)/$B$128)</f>
        <v/>
      </c>
      <c r="D123" s="22"/>
      <c r="E123" s="23" t="str">
        <f aca="false">IF(A123="","",IF($B$118&gt;0,MIN(1,N(D123)/$B$118),0))</f>
        <v/>
      </c>
      <c r="F123" s="24" t="str">
        <f aca="false">IF(A123="","",N(B123)*$B$118)</f>
        <v/>
      </c>
      <c r="G123" s="24" t="str">
        <f aca="false">IF(A123="","",N(B123)*($B$118-MIN($B$118,N(D123))))</f>
        <v/>
      </c>
    </row>
    <row r="124" customFormat="false" ht="15" hidden="false" customHeight="false" outlineLevel="0" collapsed="false">
      <c r="A124" s="21"/>
      <c r="B124" s="22"/>
      <c r="C124" s="23" t="str">
        <f aca="false">IF(OR(A124="",$B$128=0),"",N(B124)/$B$128)</f>
        <v/>
      </c>
      <c r="D124" s="22"/>
      <c r="E124" s="23" t="str">
        <f aca="false">IF(A124="","",IF($B$118&gt;0,MIN(1,N(D124)/$B$118),0))</f>
        <v/>
      </c>
      <c r="F124" s="24" t="str">
        <f aca="false">IF(A124="","",N(B124)*$B$118)</f>
        <v/>
      </c>
      <c r="G124" s="24" t="str">
        <f aca="false">IF(A124="","",N(B124)*($B$118-MIN($B$118,N(D124))))</f>
        <v/>
      </c>
    </row>
    <row r="125" customFormat="false" ht="15" hidden="false" customHeight="false" outlineLevel="0" collapsed="false">
      <c r="A125" s="21"/>
      <c r="B125" s="22"/>
      <c r="C125" s="23" t="str">
        <f aca="false">IF(OR(A125="",$B$128=0),"",N(B125)/$B$128)</f>
        <v/>
      </c>
      <c r="D125" s="22"/>
      <c r="E125" s="23" t="str">
        <f aca="false">IF(A125="","",IF($B$118&gt;0,MIN(1,N(D125)/$B$118),0))</f>
        <v/>
      </c>
      <c r="F125" s="24" t="str">
        <f aca="false">IF(A125="","",N(B125)*$B$118)</f>
        <v/>
      </c>
      <c r="G125" s="24" t="str">
        <f aca="false">IF(A125="","",N(B125)*($B$118-MIN($B$118,N(D125))))</f>
        <v/>
      </c>
    </row>
    <row r="126" customFormat="false" ht="15" hidden="false" customHeight="false" outlineLevel="0" collapsed="false">
      <c r="A126" s="21"/>
      <c r="B126" s="22"/>
      <c r="C126" s="23" t="str">
        <f aca="false">IF(OR(A126="",$B$128=0),"",N(B126)/$B$128)</f>
        <v/>
      </c>
      <c r="D126" s="22"/>
      <c r="E126" s="23" t="str">
        <f aca="false">IF(A126="","",IF($B$118&gt;0,MIN(1,N(D126)/$B$118),0))</f>
        <v/>
      </c>
      <c r="F126" s="24" t="str">
        <f aca="false">IF(A126="","",N(B126)*$B$118)</f>
        <v/>
      </c>
      <c r="G126" s="24" t="str">
        <f aca="false">IF(A126="","",N(B126)*($B$118-MIN($B$118,N(D126))))</f>
        <v/>
      </c>
    </row>
    <row r="127" customFormat="false" ht="15" hidden="false" customHeight="false" outlineLevel="0" collapsed="false">
      <c r="A127" s="21"/>
      <c r="B127" s="22"/>
      <c r="C127" s="23" t="str">
        <f aca="false">IF(OR(A127="",$B$128=0),"",N(B127)/$B$128)</f>
        <v/>
      </c>
      <c r="D127" s="22"/>
      <c r="E127" s="23" t="str">
        <f aca="false">IF(A127="","",IF($B$118&gt;0,MIN(1,N(D127)/$B$118),0))</f>
        <v/>
      </c>
      <c r="F127" s="24" t="str">
        <f aca="false">IF(A127="","",N(B127)*$B$118)</f>
        <v/>
      </c>
      <c r="G127" s="24" t="str">
        <f aca="false">IF(A127="","",N(B127)*($B$118-MIN($B$118,N(D127))))</f>
        <v/>
      </c>
    </row>
    <row r="128" customFormat="false" ht="15" hidden="false" customHeight="false" outlineLevel="0" collapsed="false">
      <c r="A128" s="18" t="s">
        <v>29</v>
      </c>
      <c r="B128" s="26" t="n">
        <f aca="false">SUM(B120:B127)</f>
        <v>0</v>
      </c>
      <c r="C128" s="27"/>
      <c r="D128" s="27"/>
      <c r="E128" s="28" t="n">
        <f aca="false">IF(B128&gt;0,SUMPRODUCT(B120:B127,E120:E127)/B128,IF(COUNT(E120:E127)=0,0,SUM(E120:E127)/COUNT(E120:E127)))</f>
        <v>0</v>
      </c>
      <c r="F128" s="17" t="n">
        <f aca="false">SUM(F120:F127)</f>
        <v>0</v>
      </c>
      <c r="G128" s="17" t="n">
        <f aca="false">SUM(G120:G127)</f>
        <v>0</v>
      </c>
    </row>
    <row r="129" customFormat="false" ht="15" hidden="false" customHeight="false" outlineLevel="0" collapsed="false">
      <c r="A129" s="18" t="s">
        <v>30</v>
      </c>
      <c r="B129" s="27"/>
      <c r="C129" s="27"/>
      <c r="D129" s="27" t="str">
        <f aca="false">F118&amp;"/"&amp;B118</f>
        <v>0/10</v>
      </c>
      <c r="E129" s="28" t="n">
        <f aca="false">IF(B118&gt;0,MIN(1,F118/B118),0)</f>
        <v>0</v>
      </c>
      <c r="F129" s="27"/>
      <c r="G129" s="27"/>
    </row>
    <row r="132" customFormat="false" ht="21.75" hidden="false" customHeight="true" outlineLevel="0" collapsed="false">
      <c r="A132" s="11" t="s">
        <v>45</v>
      </c>
      <c r="B132" s="11"/>
      <c r="C132" s="11"/>
      <c r="D132" s="11"/>
      <c r="E132" s="12" t="s">
        <v>11</v>
      </c>
      <c r="F132" s="13" t="n">
        <f aca="false">C398</f>
        <v>0</v>
      </c>
      <c r="G132" s="11"/>
      <c r="O132" s="14" t="s">
        <v>12</v>
      </c>
      <c r="P132" s="15" t="n">
        <f aca="false">E143</f>
        <v>0</v>
      </c>
    </row>
    <row r="133" customFormat="false" ht="30" hidden="false" customHeight="true" outlineLevel="0" collapsed="false">
      <c r="A133" s="16" t="s">
        <v>13</v>
      </c>
      <c r="B133" s="17" t="n">
        <f aca="false">$B$4</f>
        <v>10</v>
      </c>
      <c r="C133" s="18"/>
      <c r="D133" s="18"/>
      <c r="E133" s="19" t="s">
        <v>14</v>
      </c>
      <c r="F133" s="17" t="n">
        <f aca="false">IF(COUNT(E135:E142)=0,0,ROUND(MIN(E135:E142)*B133,0))</f>
        <v>0</v>
      </c>
      <c r="G133" s="18"/>
      <c r="O133" s="14" t="s">
        <v>15</v>
      </c>
      <c r="P133" s="15" t="n">
        <f aca="false">1-P132</f>
        <v>1</v>
      </c>
    </row>
    <row r="134" customFormat="false" ht="30" hidden="false" customHeight="true" outlineLevel="0" collapsed="false">
      <c r="A134" s="20" t="s">
        <v>16</v>
      </c>
      <c r="B134" s="20" t="s">
        <v>17</v>
      </c>
      <c r="C134" s="20" t="s">
        <v>18</v>
      </c>
      <c r="D134" s="20" t="s">
        <v>19</v>
      </c>
      <c r="E134" s="20" t="s">
        <v>20</v>
      </c>
      <c r="F134" s="20" t="s">
        <v>21</v>
      </c>
      <c r="G134" s="20" t="s">
        <v>22</v>
      </c>
    </row>
    <row r="135" customFormat="false" ht="15" hidden="false" customHeight="false" outlineLevel="0" collapsed="false">
      <c r="A135" s="21"/>
      <c r="B135" s="22"/>
      <c r="C135" s="23" t="str">
        <f aca="false">IF(OR(A135="",$B$143=0),"",N(B135)/$B$143)</f>
        <v/>
      </c>
      <c r="D135" s="22"/>
      <c r="E135" s="23" t="str">
        <f aca="false">IF(A135="","",IF($B$133&gt;0,MIN(1,N(D135)/$B$133),0))</f>
        <v/>
      </c>
      <c r="F135" s="24" t="str">
        <f aca="false">IF(A135="","",N(B135)*$B$133)</f>
        <v/>
      </c>
      <c r="G135" s="24" t="str">
        <f aca="false">IF(A135="","",N(B135)*($B$133-MIN($B$133,N(D135))))</f>
        <v/>
      </c>
      <c r="O135" s="14" t="s">
        <v>24</v>
      </c>
      <c r="P135" s="25" t="n">
        <f aca="false">COUNTA(A135:A142)</f>
        <v>0</v>
      </c>
    </row>
    <row r="136" customFormat="false" ht="15" hidden="false" customHeight="false" outlineLevel="0" collapsed="false">
      <c r="A136" s="21"/>
      <c r="B136" s="22"/>
      <c r="C136" s="23" t="str">
        <f aca="false">IF(OR(A136="",$B$143=0),"",N(B136)/$B$143)</f>
        <v/>
      </c>
      <c r="D136" s="22"/>
      <c r="E136" s="23" t="str">
        <f aca="false">IF(A136="","",IF($B$133&gt;0,MIN(1,N(D136)/$B$133),0))</f>
        <v/>
      </c>
      <c r="F136" s="24" t="str">
        <f aca="false">IF(A136="","",N(B136)*$B$133)</f>
        <v/>
      </c>
      <c r="G136" s="24" t="str">
        <f aca="false">IF(A136="","",N(B136)*($B$133-MIN($B$133,N(D136))))</f>
        <v/>
      </c>
      <c r="O136" s="14" t="s">
        <v>26</v>
      </c>
      <c r="P136" s="25" t="n">
        <f aca="false">COUNTIF(E135:E142,"&gt;=1")</f>
        <v>0</v>
      </c>
    </row>
    <row r="137" customFormat="false" ht="15" hidden="false" customHeight="false" outlineLevel="0" collapsed="false">
      <c r="A137" s="21"/>
      <c r="B137" s="22"/>
      <c r="C137" s="23" t="str">
        <f aca="false">IF(OR(A137="",$B$143=0),"",N(B137)/$B$143)</f>
        <v/>
      </c>
      <c r="D137" s="22"/>
      <c r="E137" s="23" t="str">
        <f aca="false">IF(A137="","",IF($B$133&gt;0,MIN(1,N(D137)/$B$133),0))</f>
        <v/>
      </c>
      <c r="F137" s="24" t="str">
        <f aca="false">IF(A137="","",N(B137)*$B$133)</f>
        <v/>
      </c>
      <c r="G137" s="24" t="str">
        <f aca="false">IF(A137="","",N(B137)*($B$133-MIN($B$133,N(D137))))</f>
        <v/>
      </c>
    </row>
    <row r="138" customFormat="false" ht="15" hidden="false" customHeight="false" outlineLevel="0" collapsed="false">
      <c r="A138" s="21"/>
      <c r="B138" s="22"/>
      <c r="C138" s="23" t="str">
        <f aca="false">IF(OR(A138="",$B$143=0),"",N(B138)/$B$143)</f>
        <v/>
      </c>
      <c r="D138" s="22"/>
      <c r="E138" s="23" t="str">
        <f aca="false">IF(A138="","",IF($B$133&gt;0,MIN(1,N(D138)/$B$133),0))</f>
        <v/>
      </c>
      <c r="F138" s="24" t="str">
        <f aca="false">IF(A138="","",N(B138)*$B$133)</f>
        <v/>
      </c>
      <c r="G138" s="24" t="str">
        <f aca="false">IF(A138="","",N(B138)*($B$133-MIN($B$133,N(D138))))</f>
        <v/>
      </c>
    </row>
    <row r="139" customFormat="false" ht="15" hidden="false" customHeight="false" outlineLevel="0" collapsed="false">
      <c r="A139" s="21"/>
      <c r="B139" s="22"/>
      <c r="C139" s="23" t="str">
        <f aca="false">IF(OR(A139="",$B$143=0),"",N(B139)/$B$143)</f>
        <v/>
      </c>
      <c r="D139" s="22"/>
      <c r="E139" s="23" t="str">
        <f aca="false">IF(A139="","",IF($B$133&gt;0,MIN(1,N(D139)/$B$133),0))</f>
        <v/>
      </c>
      <c r="F139" s="24" t="str">
        <f aca="false">IF(A139="","",N(B139)*$B$133)</f>
        <v/>
      </c>
      <c r="G139" s="24" t="str">
        <f aca="false">IF(A139="","",N(B139)*($B$133-MIN($B$133,N(D139))))</f>
        <v/>
      </c>
    </row>
    <row r="140" customFormat="false" ht="15" hidden="false" customHeight="false" outlineLevel="0" collapsed="false">
      <c r="A140" s="21"/>
      <c r="B140" s="22"/>
      <c r="C140" s="23" t="str">
        <f aca="false">IF(OR(A140="",$B$143=0),"",N(B140)/$B$143)</f>
        <v/>
      </c>
      <c r="D140" s="22"/>
      <c r="E140" s="23" t="str">
        <f aca="false">IF(A140="","",IF($B$133&gt;0,MIN(1,N(D140)/$B$133),0))</f>
        <v/>
      </c>
      <c r="F140" s="24" t="str">
        <f aca="false">IF(A140="","",N(B140)*$B$133)</f>
        <v/>
      </c>
      <c r="G140" s="24" t="str">
        <f aca="false">IF(A140="","",N(B140)*($B$133-MIN($B$133,N(D140))))</f>
        <v/>
      </c>
    </row>
    <row r="141" customFormat="false" ht="15" hidden="false" customHeight="false" outlineLevel="0" collapsed="false">
      <c r="A141" s="21"/>
      <c r="B141" s="22"/>
      <c r="C141" s="23" t="str">
        <f aca="false">IF(OR(A141="",$B$143=0),"",N(B141)/$B$143)</f>
        <v/>
      </c>
      <c r="D141" s="22"/>
      <c r="E141" s="23" t="str">
        <f aca="false">IF(A141="","",IF($B$133&gt;0,MIN(1,N(D141)/$B$133),0))</f>
        <v/>
      </c>
      <c r="F141" s="24" t="str">
        <f aca="false">IF(A141="","",N(B141)*$B$133)</f>
        <v/>
      </c>
      <c r="G141" s="24" t="str">
        <f aca="false">IF(A141="","",N(B141)*($B$133-MIN($B$133,N(D141))))</f>
        <v/>
      </c>
    </row>
    <row r="142" customFormat="false" ht="15" hidden="false" customHeight="false" outlineLevel="0" collapsed="false">
      <c r="A142" s="21"/>
      <c r="B142" s="22"/>
      <c r="C142" s="23" t="str">
        <f aca="false">IF(OR(A142="",$B$143=0),"",N(B142)/$B$143)</f>
        <v/>
      </c>
      <c r="D142" s="22"/>
      <c r="E142" s="23" t="str">
        <f aca="false">IF(A142="","",IF($B$133&gt;0,MIN(1,N(D142)/$B$133),0))</f>
        <v/>
      </c>
      <c r="F142" s="24" t="str">
        <f aca="false">IF(A142="","",N(B142)*$B$133)</f>
        <v/>
      </c>
      <c r="G142" s="24" t="str">
        <f aca="false">IF(A142="","",N(B142)*($B$133-MIN($B$133,N(D142))))</f>
        <v/>
      </c>
    </row>
    <row r="143" customFormat="false" ht="15" hidden="false" customHeight="false" outlineLevel="0" collapsed="false">
      <c r="A143" s="18" t="s">
        <v>29</v>
      </c>
      <c r="B143" s="26" t="n">
        <f aca="false">SUM(B135:B142)</f>
        <v>0</v>
      </c>
      <c r="C143" s="27"/>
      <c r="D143" s="27"/>
      <c r="E143" s="28" t="n">
        <f aca="false">IF(B143&gt;0,SUMPRODUCT(B135:B142,E135:E142)/B143,IF(COUNT(E135:E142)=0,0,SUM(E135:E142)/COUNT(E135:E142)))</f>
        <v>0</v>
      </c>
      <c r="F143" s="17" t="n">
        <f aca="false">SUM(F135:F142)</f>
        <v>0</v>
      </c>
      <c r="G143" s="17" t="n">
        <f aca="false">SUM(G135:G142)</f>
        <v>0</v>
      </c>
    </row>
    <row r="144" customFormat="false" ht="15" hidden="false" customHeight="false" outlineLevel="0" collapsed="false">
      <c r="A144" s="18" t="s">
        <v>30</v>
      </c>
      <c r="B144" s="27"/>
      <c r="C144" s="27"/>
      <c r="D144" s="27" t="str">
        <f aca="false">F133&amp;"/"&amp;B133</f>
        <v>0/10</v>
      </c>
      <c r="E144" s="28" t="n">
        <f aca="false">IF(B133&gt;0,MIN(1,F133/B133),0)</f>
        <v>0</v>
      </c>
      <c r="F144" s="27"/>
      <c r="G144" s="27"/>
    </row>
    <row r="147" customFormat="false" ht="21.75" hidden="false" customHeight="true" outlineLevel="0" collapsed="false">
      <c r="A147" s="11" t="s">
        <v>46</v>
      </c>
      <c r="B147" s="11"/>
      <c r="C147" s="11"/>
      <c r="D147" s="11"/>
      <c r="E147" s="12" t="s">
        <v>11</v>
      </c>
      <c r="F147" s="13" t="n">
        <f aca="false">C399</f>
        <v>0</v>
      </c>
      <c r="G147" s="11"/>
      <c r="O147" s="14" t="s">
        <v>12</v>
      </c>
      <c r="P147" s="15" t="n">
        <f aca="false">E158</f>
        <v>0</v>
      </c>
    </row>
    <row r="148" customFormat="false" ht="30" hidden="false" customHeight="true" outlineLevel="0" collapsed="false">
      <c r="A148" s="16" t="s">
        <v>13</v>
      </c>
      <c r="B148" s="17" t="n">
        <f aca="false">$B$4</f>
        <v>10</v>
      </c>
      <c r="C148" s="18"/>
      <c r="D148" s="18"/>
      <c r="E148" s="19" t="s">
        <v>14</v>
      </c>
      <c r="F148" s="17" t="n">
        <f aca="false">IF(COUNT(E150:E157)=0,0,ROUND(MIN(E150:E157)*B148,0))</f>
        <v>0</v>
      </c>
      <c r="G148" s="18"/>
      <c r="O148" s="14" t="s">
        <v>15</v>
      </c>
      <c r="P148" s="15" t="n">
        <f aca="false">1-P147</f>
        <v>1</v>
      </c>
    </row>
    <row r="149" customFormat="false" ht="30" hidden="false" customHeight="true" outlineLevel="0" collapsed="false">
      <c r="A149" s="20" t="s">
        <v>16</v>
      </c>
      <c r="B149" s="20" t="s">
        <v>17</v>
      </c>
      <c r="C149" s="20" t="s">
        <v>18</v>
      </c>
      <c r="D149" s="20" t="s">
        <v>19</v>
      </c>
      <c r="E149" s="20" t="s">
        <v>20</v>
      </c>
      <c r="F149" s="20" t="s">
        <v>21</v>
      </c>
      <c r="G149" s="20" t="s">
        <v>22</v>
      </c>
    </row>
    <row r="150" customFormat="false" ht="15" hidden="false" customHeight="false" outlineLevel="0" collapsed="false">
      <c r="A150" s="21"/>
      <c r="B150" s="22"/>
      <c r="C150" s="23" t="str">
        <f aca="false">IF(OR(A150="",$B$158=0),"",N(B150)/$B$158)</f>
        <v/>
      </c>
      <c r="D150" s="22"/>
      <c r="E150" s="23" t="str">
        <f aca="false">IF(A150="","",IF($B$148&gt;0,MIN(1,N(D150)/$B$148),0))</f>
        <v/>
      </c>
      <c r="F150" s="24" t="str">
        <f aca="false">IF(A150="","",N(B150)*$B$148)</f>
        <v/>
      </c>
      <c r="G150" s="24" t="str">
        <f aca="false">IF(A150="","",N(B150)*($B$148-MIN($B$148,N(D150))))</f>
        <v/>
      </c>
      <c r="O150" s="14" t="s">
        <v>24</v>
      </c>
      <c r="P150" s="25" t="n">
        <f aca="false">COUNTA(A150:A157)</f>
        <v>0</v>
      </c>
    </row>
    <row r="151" customFormat="false" ht="15" hidden="false" customHeight="false" outlineLevel="0" collapsed="false">
      <c r="A151" s="21"/>
      <c r="B151" s="22"/>
      <c r="C151" s="23" t="str">
        <f aca="false">IF(OR(A151="",$B$158=0),"",N(B151)/$B$158)</f>
        <v/>
      </c>
      <c r="D151" s="22"/>
      <c r="E151" s="23" t="str">
        <f aca="false">IF(A151="","",IF($B$148&gt;0,MIN(1,N(D151)/$B$148),0))</f>
        <v/>
      </c>
      <c r="F151" s="24" t="str">
        <f aca="false">IF(A151="","",N(B151)*$B$148)</f>
        <v/>
      </c>
      <c r="G151" s="24" t="str">
        <f aca="false">IF(A151="","",N(B151)*($B$148-MIN($B$148,N(D151))))</f>
        <v/>
      </c>
      <c r="O151" s="14" t="s">
        <v>26</v>
      </c>
      <c r="P151" s="25" t="n">
        <f aca="false">COUNTIF(E150:E157,"&gt;=1")</f>
        <v>0</v>
      </c>
    </row>
    <row r="152" customFormat="false" ht="15" hidden="false" customHeight="false" outlineLevel="0" collapsed="false">
      <c r="A152" s="21"/>
      <c r="B152" s="22"/>
      <c r="C152" s="23" t="str">
        <f aca="false">IF(OR(A152="",$B$158=0),"",N(B152)/$B$158)</f>
        <v/>
      </c>
      <c r="D152" s="22"/>
      <c r="E152" s="23" t="str">
        <f aca="false">IF(A152="","",IF($B$148&gt;0,MIN(1,N(D152)/$B$148),0))</f>
        <v/>
      </c>
      <c r="F152" s="24" t="str">
        <f aca="false">IF(A152="","",N(B152)*$B$148)</f>
        <v/>
      </c>
      <c r="G152" s="24" t="str">
        <f aca="false">IF(A152="","",N(B152)*($B$148-MIN($B$148,N(D152))))</f>
        <v/>
      </c>
    </row>
    <row r="153" customFormat="false" ht="15" hidden="false" customHeight="false" outlineLevel="0" collapsed="false">
      <c r="A153" s="21"/>
      <c r="B153" s="22"/>
      <c r="C153" s="23" t="str">
        <f aca="false">IF(OR(A153="",$B$158=0),"",N(B153)/$B$158)</f>
        <v/>
      </c>
      <c r="D153" s="22"/>
      <c r="E153" s="23" t="str">
        <f aca="false">IF(A153="","",IF($B$148&gt;0,MIN(1,N(D153)/$B$148),0))</f>
        <v/>
      </c>
      <c r="F153" s="24" t="str">
        <f aca="false">IF(A153="","",N(B153)*$B$148)</f>
        <v/>
      </c>
      <c r="G153" s="24" t="str">
        <f aca="false">IF(A153="","",N(B153)*($B$148-MIN($B$148,N(D153))))</f>
        <v/>
      </c>
    </row>
    <row r="154" customFormat="false" ht="15" hidden="false" customHeight="false" outlineLevel="0" collapsed="false">
      <c r="A154" s="21"/>
      <c r="B154" s="22"/>
      <c r="C154" s="23" t="str">
        <f aca="false">IF(OR(A154="",$B$158=0),"",N(B154)/$B$158)</f>
        <v/>
      </c>
      <c r="D154" s="22"/>
      <c r="E154" s="23" t="str">
        <f aca="false">IF(A154="","",IF($B$148&gt;0,MIN(1,N(D154)/$B$148),0))</f>
        <v/>
      </c>
      <c r="F154" s="24" t="str">
        <f aca="false">IF(A154="","",N(B154)*$B$148)</f>
        <v/>
      </c>
      <c r="G154" s="24" t="str">
        <f aca="false">IF(A154="","",N(B154)*($B$148-MIN($B$148,N(D154))))</f>
        <v/>
      </c>
    </row>
    <row r="155" customFormat="false" ht="15" hidden="false" customHeight="false" outlineLevel="0" collapsed="false">
      <c r="A155" s="21"/>
      <c r="B155" s="22"/>
      <c r="C155" s="23" t="str">
        <f aca="false">IF(OR(A155="",$B$158=0),"",N(B155)/$B$158)</f>
        <v/>
      </c>
      <c r="D155" s="22"/>
      <c r="E155" s="23" t="str">
        <f aca="false">IF(A155="","",IF($B$148&gt;0,MIN(1,N(D155)/$B$148),0))</f>
        <v/>
      </c>
      <c r="F155" s="24" t="str">
        <f aca="false">IF(A155="","",N(B155)*$B$148)</f>
        <v/>
      </c>
      <c r="G155" s="24" t="str">
        <f aca="false">IF(A155="","",N(B155)*($B$148-MIN($B$148,N(D155))))</f>
        <v/>
      </c>
    </row>
    <row r="156" customFormat="false" ht="15" hidden="false" customHeight="false" outlineLevel="0" collapsed="false">
      <c r="A156" s="21"/>
      <c r="B156" s="22"/>
      <c r="C156" s="23" t="str">
        <f aca="false">IF(OR(A156="",$B$158=0),"",N(B156)/$B$158)</f>
        <v/>
      </c>
      <c r="D156" s="22"/>
      <c r="E156" s="23" t="str">
        <f aca="false">IF(A156="","",IF($B$148&gt;0,MIN(1,N(D156)/$B$148),0))</f>
        <v/>
      </c>
      <c r="F156" s="24" t="str">
        <f aca="false">IF(A156="","",N(B156)*$B$148)</f>
        <v/>
      </c>
      <c r="G156" s="24" t="str">
        <f aca="false">IF(A156="","",N(B156)*($B$148-MIN($B$148,N(D156))))</f>
        <v/>
      </c>
    </row>
    <row r="157" customFormat="false" ht="15" hidden="false" customHeight="false" outlineLevel="0" collapsed="false">
      <c r="A157" s="21"/>
      <c r="B157" s="22"/>
      <c r="C157" s="23" t="str">
        <f aca="false">IF(OR(A157="",$B$158=0),"",N(B157)/$B$158)</f>
        <v/>
      </c>
      <c r="D157" s="22"/>
      <c r="E157" s="23" t="str">
        <f aca="false">IF(A157="","",IF($B$148&gt;0,MIN(1,N(D157)/$B$148),0))</f>
        <v/>
      </c>
      <c r="F157" s="24" t="str">
        <f aca="false">IF(A157="","",N(B157)*$B$148)</f>
        <v/>
      </c>
      <c r="G157" s="24" t="str">
        <f aca="false">IF(A157="","",N(B157)*($B$148-MIN($B$148,N(D157))))</f>
        <v/>
      </c>
    </row>
    <row r="158" customFormat="false" ht="15" hidden="false" customHeight="false" outlineLevel="0" collapsed="false">
      <c r="A158" s="18" t="s">
        <v>29</v>
      </c>
      <c r="B158" s="26" t="n">
        <f aca="false">SUM(B150:B157)</f>
        <v>0</v>
      </c>
      <c r="C158" s="27"/>
      <c r="D158" s="27"/>
      <c r="E158" s="28" t="n">
        <f aca="false">IF(B158&gt;0,SUMPRODUCT(B150:B157,E150:E157)/B158,IF(COUNT(E150:E157)=0,0,SUM(E150:E157)/COUNT(E150:E157)))</f>
        <v>0</v>
      </c>
      <c r="F158" s="17" t="n">
        <f aca="false">SUM(F150:F157)</f>
        <v>0</v>
      </c>
      <c r="G158" s="17" t="n">
        <f aca="false">SUM(G150:G157)</f>
        <v>0</v>
      </c>
    </row>
    <row r="159" customFormat="false" ht="15" hidden="false" customHeight="false" outlineLevel="0" collapsed="false">
      <c r="A159" s="18" t="s">
        <v>30</v>
      </c>
      <c r="B159" s="27"/>
      <c r="C159" s="27"/>
      <c r="D159" s="27" t="str">
        <f aca="false">F148&amp;"/"&amp;B148</f>
        <v>0/10</v>
      </c>
      <c r="E159" s="28" t="n">
        <f aca="false">IF(B148&gt;0,MIN(1,F148/B148),0)</f>
        <v>0</v>
      </c>
      <c r="F159" s="27"/>
      <c r="G159" s="27"/>
    </row>
    <row r="162" customFormat="false" ht="21.75" hidden="false" customHeight="true" outlineLevel="0" collapsed="false">
      <c r="A162" s="11" t="s">
        <v>47</v>
      </c>
      <c r="B162" s="11"/>
      <c r="C162" s="11"/>
      <c r="D162" s="11"/>
      <c r="E162" s="12" t="s">
        <v>11</v>
      </c>
      <c r="F162" s="13" t="n">
        <f aca="false">C400</f>
        <v>0</v>
      </c>
      <c r="G162" s="11"/>
      <c r="O162" s="14" t="s">
        <v>12</v>
      </c>
      <c r="P162" s="15" t="n">
        <f aca="false">E173</f>
        <v>0</v>
      </c>
    </row>
    <row r="163" customFormat="false" ht="30" hidden="false" customHeight="true" outlineLevel="0" collapsed="false">
      <c r="A163" s="16" t="s">
        <v>13</v>
      </c>
      <c r="B163" s="17" t="n">
        <f aca="false">$B$4</f>
        <v>10</v>
      </c>
      <c r="C163" s="18"/>
      <c r="D163" s="18"/>
      <c r="E163" s="19" t="s">
        <v>14</v>
      </c>
      <c r="F163" s="17" t="n">
        <f aca="false">IF(COUNT(E165:E172)=0,0,ROUND(MIN(E165:E172)*B163,0))</f>
        <v>0</v>
      </c>
      <c r="G163" s="18"/>
      <c r="O163" s="14" t="s">
        <v>15</v>
      </c>
      <c r="P163" s="15" t="n">
        <f aca="false">1-P162</f>
        <v>1</v>
      </c>
    </row>
    <row r="164" customFormat="false" ht="30" hidden="false" customHeight="true" outlineLevel="0" collapsed="false">
      <c r="A164" s="20" t="s">
        <v>16</v>
      </c>
      <c r="B164" s="20" t="s">
        <v>17</v>
      </c>
      <c r="C164" s="20" t="s">
        <v>18</v>
      </c>
      <c r="D164" s="20" t="s">
        <v>19</v>
      </c>
      <c r="E164" s="20" t="s">
        <v>20</v>
      </c>
      <c r="F164" s="20" t="s">
        <v>21</v>
      </c>
      <c r="G164" s="20" t="s">
        <v>22</v>
      </c>
    </row>
    <row r="165" customFormat="false" ht="15" hidden="false" customHeight="false" outlineLevel="0" collapsed="false">
      <c r="A165" s="21"/>
      <c r="B165" s="22"/>
      <c r="C165" s="23" t="str">
        <f aca="false">IF(OR(A165="",$B$173=0),"",N(B165)/$B$173)</f>
        <v/>
      </c>
      <c r="D165" s="22"/>
      <c r="E165" s="23" t="str">
        <f aca="false">IF(A165="","",IF($B$163&gt;0,MIN(1,N(D165)/$B$163),0))</f>
        <v/>
      </c>
      <c r="F165" s="24" t="str">
        <f aca="false">IF(A165="","",N(B165)*$B$163)</f>
        <v/>
      </c>
      <c r="G165" s="24" t="str">
        <f aca="false">IF(A165="","",N(B165)*($B$163-MIN($B$163,N(D165))))</f>
        <v/>
      </c>
      <c r="O165" s="14" t="s">
        <v>24</v>
      </c>
      <c r="P165" s="25" t="n">
        <f aca="false">COUNTA(A165:A172)</f>
        <v>0</v>
      </c>
    </row>
    <row r="166" customFormat="false" ht="15" hidden="false" customHeight="false" outlineLevel="0" collapsed="false">
      <c r="A166" s="21"/>
      <c r="B166" s="22"/>
      <c r="C166" s="23" t="str">
        <f aca="false">IF(OR(A166="",$B$173=0),"",N(B166)/$B$173)</f>
        <v/>
      </c>
      <c r="D166" s="22"/>
      <c r="E166" s="23" t="str">
        <f aca="false">IF(A166="","",IF($B$163&gt;0,MIN(1,N(D166)/$B$163),0))</f>
        <v/>
      </c>
      <c r="F166" s="24" t="str">
        <f aca="false">IF(A166="","",N(B166)*$B$163)</f>
        <v/>
      </c>
      <c r="G166" s="24" t="str">
        <f aca="false">IF(A166="","",N(B166)*($B$163-MIN($B$163,N(D166))))</f>
        <v/>
      </c>
      <c r="O166" s="14" t="s">
        <v>26</v>
      </c>
      <c r="P166" s="25" t="n">
        <f aca="false">COUNTIF(E165:E172,"&gt;=1")</f>
        <v>0</v>
      </c>
    </row>
    <row r="167" customFormat="false" ht="15" hidden="false" customHeight="false" outlineLevel="0" collapsed="false">
      <c r="A167" s="21"/>
      <c r="B167" s="22"/>
      <c r="C167" s="23" t="str">
        <f aca="false">IF(OR(A167="",$B$173=0),"",N(B167)/$B$173)</f>
        <v/>
      </c>
      <c r="D167" s="22"/>
      <c r="E167" s="23" t="str">
        <f aca="false">IF(A167="","",IF($B$163&gt;0,MIN(1,N(D167)/$B$163),0))</f>
        <v/>
      </c>
      <c r="F167" s="24" t="str">
        <f aca="false">IF(A167="","",N(B167)*$B$163)</f>
        <v/>
      </c>
      <c r="G167" s="24" t="str">
        <f aca="false">IF(A167="","",N(B167)*($B$163-MIN($B$163,N(D167))))</f>
        <v/>
      </c>
    </row>
    <row r="168" customFormat="false" ht="15" hidden="false" customHeight="false" outlineLevel="0" collapsed="false">
      <c r="A168" s="21"/>
      <c r="B168" s="22"/>
      <c r="C168" s="23" t="str">
        <f aca="false">IF(OR(A168="",$B$173=0),"",N(B168)/$B$173)</f>
        <v/>
      </c>
      <c r="D168" s="22"/>
      <c r="E168" s="23" t="str">
        <f aca="false">IF(A168="","",IF($B$163&gt;0,MIN(1,N(D168)/$B$163),0))</f>
        <v/>
      </c>
      <c r="F168" s="24" t="str">
        <f aca="false">IF(A168="","",N(B168)*$B$163)</f>
        <v/>
      </c>
      <c r="G168" s="24" t="str">
        <f aca="false">IF(A168="","",N(B168)*($B$163-MIN($B$163,N(D168))))</f>
        <v/>
      </c>
    </row>
    <row r="169" customFormat="false" ht="15" hidden="false" customHeight="false" outlineLevel="0" collapsed="false">
      <c r="A169" s="21"/>
      <c r="B169" s="22"/>
      <c r="C169" s="23" t="str">
        <f aca="false">IF(OR(A169="",$B$173=0),"",N(B169)/$B$173)</f>
        <v/>
      </c>
      <c r="D169" s="22"/>
      <c r="E169" s="23" t="str">
        <f aca="false">IF(A169="","",IF($B$163&gt;0,MIN(1,N(D169)/$B$163),0))</f>
        <v/>
      </c>
      <c r="F169" s="24" t="str">
        <f aca="false">IF(A169="","",N(B169)*$B$163)</f>
        <v/>
      </c>
      <c r="G169" s="24" t="str">
        <f aca="false">IF(A169="","",N(B169)*($B$163-MIN($B$163,N(D169))))</f>
        <v/>
      </c>
    </row>
    <row r="170" customFormat="false" ht="15" hidden="false" customHeight="false" outlineLevel="0" collapsed="false">
      <c r="A170" s="21"/>
      <c r="B170" s="22"/>
      <c r="C170" s="23" t="str">
        <f aca="false">IF(OR(A170="",$B$173=0),"",N(B170)/$B$173)</f>
        <v/>
      </c>
      <c r="D170" s="22"/>
      <c r="E170" s="23" t="str">
        <f aca="false">IF(A170="","",IF($B$163&gt;0,MIN(1,N(D170)/$B$163),0))</f>
        <v/>
      </c>
      <c r="F170" s="24" t="str">
        <f aca="false">IF(A170="","",N(B170)*$B$163)</f>
        <v/>
      </c>
      <c r="G170" s="24" t="str">
        <f aca="false">IF(A170="","",N(B170)*($B$163-MIN($B$163,N(D170))))</f>
        <v/>
      </c>
    </row>
    <row r="171" customFormat="false" ht="15" hidden="false" customHeight="false" outlineLevel="0" collapsed="false">
      <c r="A171" s="21"/>
      <c r="B171" s="22"/>
      <c r="C171" s="23" t="str">
        <f aca="false">IF(OR(A171="",$B$173=0),"",N(B171)/$B$173)</f>
        <v/>
      </c>
      <c r="D171" s="22"/>
      <c r="E171" s="23" t="str">
        <f aca="false">IF(A171="","",IF($B$163&gt;0,MIN(1,N(D171)/$B$163),0))</f>
        <v/>
      </c>
      <c r="F171" s="24" t="str">
        <f aca="false">IF(A171="","",N(B171)*$B$163)</f>
        <v/>
      </c>
      <c r="G171" s="24" t="str">
        <f aca="false">IF(A171="","",N(B171)*($B$163-MIN($B$163,N(D171))))</f>
        <v/>
      </c>
    </row>
    <row r="172" customFormat="false" ht="15" hidden="false" customHeight="false" outlineLevel="0" collapsed="false">
      <c r="A172" s="21"/>
      <c r="B172" s="22"/>
      <c r="C172" s="23" t="str">
        <f aca="false">IF(OR(A172="",$B$173=0),"",N(B172)/$B$173)</f>
        <v/>
      </c>
      <c r="D172" s="22"/>
      <c r="E172" s="23" t="str">
        <f aca="false">IF(A172="","",IF($B$163&gt;0,MIN(1,N(D172)/$B$163),0))</f>
        <v/>
      </c>
      <c r="F172" s="24" t="str">
        <f aca="false">IF(A172="","",N(B172)*$B$163)</f>
        <v/>
      </c>
      <c r="G172" s="24" t="str">
        <f aca="false">IF(A172="","",N(B172)*($B$163-MIN($B$163,N(D172))))</f>
        <v/>
      </c>
    </row>
    <row r="173" customFormat="false" ht="15" hidden="false" customHeight="false" outlineLevel="0" collapsed="false">
      <c r="A173" s="18" t="s">
        <v>29</v>
      </c>
      <c r="B173" s="26" t="n">
        <f aca="false">SUM(B165:B172)</f>
        <v>0</v>
      </c>
      <c r="C173" s="27"/>
      <c r="D173" s="27"/>
      <c r="E173" s="28" t="n">
        <f aca="false">IF(B173&gt;0,SUMPRODUCT(B165:B172,E165:E172)/B173,IF(COUNT(E165:E172)=0,0,SUM(E165:E172)/COUNT(E165:E172)))</f>
        <v>0</v>
      </c>
      <c r="F173" s="17" t="n">
        <f aca="false">SUM(F165:F172)</f>
        <v>0</v>
      </c>
      <c r="G173" s="17" t="n">
        <f aca="false">SUM(G165:G172)</f>
        <v>0</v>
      </c>
    </row>
    <row r="174" customFormat="false" ht="15" hidden="false" customHeight="false" outlineLevel="0" collapsed="false">
      <c r="A174" s="18" t="s">
        <v>30</v>
      </c>
      <c r="B174" s="27"/>
      <c r="C174" s="27"/>
      <c r="D174" s="27" t="str">
        <f aca="false">F163&amp;"/"&amp;B163</f>
        <v>0/10</v>
      </c>
      <c r="E174" s="28" t="n">
        <f aca="false">IF(B163&gt;0,MIN(1,F163/B163),0)</f>
        <v>0</v>
      </c>
      <c r="F174" s="27"/>
      <c r="G174" s="27"/>
    </row>
    <row r="177" customFormat="false" ht="21.75" hidden="false" customHeight="true" outlineLevel="0" collapsed="false">
      <c r="A177" s="11" t="s">
        <v>48</v>
      </c>
      <c r="B177" s="11"/>
      <c r="C177" s="11"/>
      <c r="D177" s="11"/>
      <c r="E177" s="12" t="s">
        <v>11</v>
      </c>
      <c r="F177" s="13" t="n">
        <f aca="false">C401</f>
        <v>0</v>
      </c>
      <c r="G177" s="11"/>
      <c r="O177" s="14" t="s">
        <v>12</v>
      </c>
      <c r="P177" s="15" t="n">
        <f aca="false">E188</f>
        <v>0</v>
      </c>
    </row>
    <row r="178" customFormat="false" ht="30" hidden="false" customHeight="true" outlineLevel="0" collapsed="false">
      <c r="A178" s="16" t="s">
        <v>13</v>
      </c>
      <c r="B178" s="17" t="n">
        <f aca="false">$B$4</f>
        <v>10</v>
      </c>
      <c r="C178" s="18"/>
      <c r="D178" s="18"/>
      <c r="E178" s="19" t="s">
        <v>14</v>
      </c>
      <c r="F178" s="17" t="n">
        <f aca="false">IF(COUNT(E180:E187)=0,0,ROUND(MIN(E180:E187)*B178,0))</f>
        <v>0</v>
      </c>
      <c r="G178" s="18"/>
      <c r="O178" s="14" t="s">
        <v>15</v>
      </c>
      <c r="P178" s="15" t="n">
        <f aca="false">1-P177</f>
        <v>1</v>
      </c>
    </row>
    <row r="179" customFormat="false" ht="30" hidden="false" customHeight="true" outlineLevel="0" collapsed="false">
      <c r="A179" s="20" t="s">
        <v>16</v>
      </c>
      <c r="B179" s="20" t="s">
        <v>17</v>
      </c>
      <c r="C179" s="20" t="s">
        <v>18</v>
      </c>
      <c r="D179" s="20" t="s">
        <v>19</v>
      </c>
      <c r="E179" s="20" t="s">
        <v>20</v>
      </c>
      <c r="F179" s="20" t="s">
        <v>21</v>
      </c>
      <c r="G179" s="20" t="s">
        <v>22</v>
      </c>
    </row>
    <row r="180" customFormat="false" ht="15" hidden="false" customHeight="false" outlineLevel="0" collapsed="false">
      <c r="A180" s="21"/>
      <c r="B180" s="22"/>
      <c r="C180" s="23" t="str">
        <f aca="false">IF(OR(A180="",$B$188=0),"",N(B180)/$B$188)</f>
        <v/>
      </c>
      <c r="D180" s="22"/>
      <c r="E180" s="23" t="str">
        <f aca="false">IF(A180="","",IF($B$178&gt;0,MIN(1,N(D180)/$B$178),0))</f>
        <v/>
      </c>
      <c r="F180" s="24" t="str">
        <f aca="false">IF(A180="","",N(B180)*$B$178)</f>
        <v/>
      </c>
      <c r="G180" s="24" t="str">
        <f aca="false">IF(A180="","",N(B180)*($B$178-MIN($B$178,N(D180))))</f>
        <v/>
      </c>
      <c r="O180" s="14" t="s">
        <v>24</v>
      </c>
      <c r="P180" s="25" t="n">
        <f aca="false">COUNTA(A180:A187)</f>
        <v>0</v>
      </c>
    </row>
    <row r="181" customFormat="false" ht="15" hidden="false" customHeight="false" outlineLevel="0" collapsed="false">
      <c r="A181" s="21"/>
      <c r="B181" s="22"/>
      <c r="C181" s="23" t="str">
        <f aca="false">IF(OR(A181="",$B$188=0),"",N(B181)/$B$188)</f>
        <v/>
      </c>
      <c r="D181" s="22"/>
      <c r="E181" s="23" t="str">
        <f aca="false">IF(A181="","",IF($B$178&gt;0,MIN(1,N(D181)/$B$178),0))</f>
        <v/>
      </c>
      <c r="F181" s="24" t="str">
        <f aca="false">IF(A181="","",N(B181)*$B$178)</f>
        <v/>
      </c>
      <c r="G181" s="24" t="str">
        <f aca="false">IF(A181="","",N(B181)*($B$178-MIN($B$178,N(D181))))</f>
        <v/>
      </c>
      <c r="O181" s="14" t="s">
        <v>26</v>
      </c>
      <c r="P181" s="25" t="n">
        <f aca="false">COUNTIF(E180:E187,"&gt;=1")</f>
        <v>0</v>
      </c>
    </row>
    <row r="182" customFormat="false" ht="15" hidden="false" customHeight="false" outlineLevel="0" collapsed="false">
      <c r="A182" s="21"/>
      <c r="B182" s="22"/>
      <c r="C182" s="23" t="str">
        <f aca="false">IF(OR(A182="",$B$188=0),"",N(B182)/$B$188)</f>
        <v/>
      </c>
      <c r="D182" s="22"/>
      <c r="E182" s="23" t="str">
        <f aca="false">IF(A182="","",IF($B$178&gt;0,MIN(1,N(D182)/$B$178),0))</f>
        <v/>
      </c>
      <c r="F182" s="24" t="str">
        <f aca="false">IF(A182="","",N(B182)*$B$178)</f>
        <v/>
      </c>
      <c r="G182" s="24" t="str">
        <f aca="false">IF(A182="","",N(B182)*($B$178-MIN($B$178,N(D182))))</f>
        <v/>
      </c>
    </row>
    <row r="183" customFormat="false" ht="15" hidden="false" customHeight="false" outlineLevel="0" collapsed="false">
      <c r="A183" s="21"/>
      <c r="B183" s="22"/>
      <c r="C183" s="23" t="str">
        <f aca="false">IF(OR(A183="",$B$188=0),"",N(B183)/$B$188)</f>
        <v/>
      </c>
      <c r="D183" s="22"/>
      <c r="E183" s="23" t="str">
        <f aca="false">IF(A183="","",IF($B$178&gt;0,MIN(1,N(D183)/$B$178),0))</f>
        <v/>
      </c>
      <c r="F183" s="24" t="str">
        <f aca="false">IF(A183="","",N(B183)*$B$178)</f>
        <v/>
      </c>
      <c r="G183" s="24" t="str">
        <f aca="false">IF(A183="","",N(B183)*($B$178-MIN($B$178,N(D183))))</f>
        <v/>
      </c>
    </row>
    <row r="184" customFormat="false" ht="15" hidden="false" customHeight="false" outlineLevel="0" collapsed="false">
      <c r="A184" s="21"/>
      <c r="B184" s="22"/>
      <c r="C184" s="23" t="str">
        <f aca="false">IF(OR(A184="",$B$188=0),"",N(B184)/$B$188)</f>
        <v/>
      </c>
      <c r="D184" s="22"/>
      <c r="E184" s="23" t="str">
        <f aca="false">IF(A184="","",IF($B$178&gt;0,MIN(1,N(D184)/$B$178),0))</f>
        <v/>
      </c>
      <c r="F184" s="24" t="str">
        <f aca="false">IF(A184="","",N(B184)*$B$178)</f>
        <v/>
      </c>
      <c r="G184" s="24" t="str">
        <f aca="false">IF(A184="","",N(B184)*($B$178-MIN($B$178,N(D184))))</f>
        <v/>
      </c>
    </row>
    <row r="185" customFormat="false" ht="15" hidden="false" customHeight="false" outlineLevel="0" collapsed="false">
      <c r="A185" s="21"/>
      <c r="B185" s="22"/>
      <c r="C185" s="23" t="str">
        <f aca="false">IF(OR(A185="",$B$188=0),"",N(B185)/$B$188)</f>
        <v/>
      </c>
      <c r="D185" s="22"/>
      <c r="E185" s="23" t="str">
        <f aca="false">IF(A185="","",IF($B$178&gt;0,MIN(1,N(D185)/$B$178),0))</f>
        <v/>
      </c>
      <c r="F185" s="24" t="str">
        <f aca="false">IF(A185="","",N(B185)*$B$178)</f>
        <v/>
      </c>
      <c r="G185" s="24" t="str">
        <f aca="false">IF(A185="","",N(B185)*($B$178-MIN($B$178,N(D185))))</f>
        <v/>
      </c>
    </row>
    <row r="186" customFormat="false" ht="15" hidden="false" customHeight="false" outlineLevel="0" collapsed="false">
      <c r="A186" s="21"/>
      <c r="B186" s="22"/>
      <c r="C186" s="23" t="str">
        <f aca="false">IF(OR(A186="",$B$188=0),"",N(B186)/$B$188)</f>
        <v/>
      </c>
      <c r="D186" s="22"/>
      <c r="E186" s="23" t="str">
        <f aca="false">IF(A186="","",IF($B$178&gt;0,MIN(1,N(D186)/$B$178),0))</f>
        <v/>
      </c>
      <c r="F186" s="24" t="str">
        <f aca="false">IF(A186="","",N(B186)*$B$178)</f>
        <v/>
      </c>
      <c r="G186" s="24" t="str">
        <f aca="false">IF(A186="","",N(B186)*($B$178-MIN($B$178,N(D186))))</f>
        <v/>
      </c>
    </row>
    <row r="187" customFormat="false" ht="15" hidden="false" customHeight="false" outlineLevel="0" collapsed="false">
      <c r="A187" s="21"/>
      <c r="B187" s="22"/>
      <c r="C187" s="23" t="str">
        <f aca="false">IF(OR(A187="",$B$188=0),"",N(B187)/$B$188)</f>
        <v/>
      </c>
      <c r="D187" s="22"/>
      <c r="E187" s="23" t="str">
        <f aca="false">IF(A187="","",IF($B$178&gt;0,MIN(1,N(D187)/$B$178),0))</f>
        <v/>
      </c>
      <c r="F187" s="24" t="str">
        <f aca="false">IF(A187="","",N(B187)*$B$178)</f>
        <v/>
      </c>
      <c r="G187" s="24" t="str">
        <f aca="false">IF(A187="","",N(B187)*($B$178-MIN($B$178,N(D187))))</f>
        <v/>
      </c>
    </row>
    <row r="188" customFormat="false" ht="15" hidden="false" customHeight="false" outlineLevel="0" collapsed="false">
      <c r="A188" s="18" t="s">
        <v>29</v>
      </c>
      <c r="B188" s="26" t="n">
        <f aca="false">SUM(B180:B187)</f>
        <v>0</v>
      </c>
      <c r="C188" s="27"/>
      <c r="D188" s="27"/>
      <c r="E188" s="28" t="n">
        <f aca="false">IF(B188&gt;0,SUMPRODUCT(B180:B187,E180:E187)/B188,IF(COUNT(E180:E187)=0,0,SUM(E180:E187)/COUNT(E180:E187)))</f>
        <v>0</v>
      </c>
      <c r="F188" s="17" t="n">
        <f aca="false">SUM(F180:F187)</f>
        <v>0</v>
      </c>
      <c r="G188" s="17" t="n">
        <f aca="false">SUM(G180:G187)</f>
        <v>0</v>
      </c>
    </row>
    <row r="189" customFormat="false" ht="15" hidden="false" customHeight="false" outlineLevel="0" collapsed="false">
      <c r="A189" s="18" t="s">
        <v>30</v>
      </c>
      <c r="B189" s="27"/>
      <c r="C189" s="27"/>
      <c r="D189" s="27" t="str">
        <f aca="false">F178&amp;"/"&amp;B178</f>
        <v>0/10</v>
      </c>
      <c r="E189" s="28" t="n">
        <f aca="false">IF(B178&gt;0,MIN(1,F178/B178),0)</f>
        <v>0</v>
      </c>
      <c r="F189" s="27"/>
      <c r="G189" s="27"/>
    </row>
    <row r="192" customFormat="false" ht="21.75" hidden="false" customHeight="true" outlineLevel="0" collapsed="false">
      <c r="A192" s="11" t="s">
        <v>49</v>
      </c>
      <c r="B192" s="11"/>
      <c r="C192" s="11"/>
      <c r="D192" s="11"/>
      <c r="E192" s="12" t="s">
        <v>11</v>
      </c>
      <c r="F192" s="13" t="n">
        <f aca="false">C402</f>
        <v>0</v>
      </c>
      <c r="G192" s="11"/>
      <c r="O192" s="14" t="s">
        <v>12</v>
      </c>
      <c r="P192" s="15" t="n">
        <f aca="false">E203</f>
        <v>0</v>
      </c>
    </row>
    <row r="193" customFormat="false" ht="30" hidden="false" customHeight="true" outlineLevel="0" collapsed="false">
      <c r="A193" s="16" t="s">
        <v>13</v>
      </c>
      <c r="B193" s="17" t="n">
        <f aca="false">$B$4</f>
        <v>10</v>
      </c>
      <c r="C193" s="18"/>
      <c r="D193" s="18"/>
      <c r="E193" s="19" t="s">
        <v>14</v>
      </c>
      <c r="F193" s="17" t="n">
        <f aca="false">IF(COUNT(E195:E202)=0,0,ROUND(MIN(E195:E202)*B193,0))</f>
        <v>0</v>
      </c>
      <c r="G193" s="18"/>
      <c r="O193" s="14" t="s">
        <v>15</v>
      </c>
      <c r="P193" s="15" t="n">
        <f aca="false">1-P192</f>
        <v>1</v>
      </c>
    </row>
    <row r="194" customFormat="false" ht="30" hidden="false" customHeight="true" outlineLevel="0" collapsed="false">
      <c r="A194" s="20" t="s">
        <v>16</v>
      </c>
      <c r="B194" s="20" t="s">
        <v>17</v>
      </c>
      <c r="C194" s="20" t="s">
        <v>18</v>
      </c>
      <c r="D194" s="20" t="s">
        <v>19</v>
      </c>
      <c r="E194" s="20" t="s">
        <v>20</v>
      </c>
      <c r="F194" s="20" t="s">
        <v>21</v>
      </c>
      <c r="G194" s="20" t="s">
        <v>22</v>
      </c>
    </row>
    <row r="195" customFormat="false" ht="15" hidden="false" customHeight="false" outlineLevel="0" collapsed="false">
      <c r="A195" s="21"/>
      <c r="B195" s="22"/>
      <c r="C195" s="23" t="str">
        <f aca="false">IF(OR(A195="",$B$203=0),"",N(B195)/$B$203)</f>
        <v/>
      </c>
      <c r="D195" s="22"/>
      <c r="E195" s="23" t="str">
        <f aca="false">IF(A195="","",IF($B$193&gt;0,MIN(1,N(D195)/$B$193),0))</f>
        <v/>
      </c>
      <c r="F195" s="24" t="str">
        <f aca="false">IF(A195="","",N(B195)*$B$193)</f>
        <v/>
      </c>
      <c r="G195" s="24" t="str">
        <f aca="false">IF(A195="","",N(B195)*($B$193-MIN($B$193,N(D195))))</f>
        <v/>
      </c>
      <c r="O195" s="14" t="s">
        <v>24</v>
      </c>
      <c r="P195" s="25" t="n">
        <f aca="false">COUNTA(A195:A202)</f>
        <v>0</v>
      </c>
    </row>
    <row r="196" customFormat="false" ht="15" hidden="false" customHeight="false" outlineLevel="0" collapsed="false">
      <c r="A196" s="21"/>
      <c r="B196" s="22"/>
      <c r="C196" s="23" t="str">
        <f aca="false">IF(OR(A196="",$B$203=0),"",N(B196)/$B$203)</f>
        <v/>
      </c>
      <c r="D196" s="22"/>
      <c r="E196" s="23" t="str">
        <f aca="false">IF(A196="","",IF($B$193&gt;0,MIN(1,N(D196)/$B$193),0))</f>
        <v/>
      </c>
      <c r="F196" s="24" t="str">
        <f aca="false">IF(A196="","",N(B196)*$B$193)</f>
        <v/>
      </c>
      <c r="G196" s="24" t="str">
        <f aca="false">IF(A196="","",N(B196)*($B$193-MIN($B$193,N(D196))))</f>
        <v/>
      </c>
      <c r="O196" s="14" t="s">
        <v>26</v>
      </c>
      <c r="P196" s="25" t="n">
        <f aca="false">COUNTIF(E195:E202,"&gt;=1")</f>
        <v>0</v>
      </c>
    </row>
    <row r="197" customFormat="false" ht="15" hidden="false" customHeight="false" outlineLevel="0" collapsed="false">
      <c r="A197" s="21"/>
      <c r="B197" s="22"/>
      <c r="C197" s="23" t="str">
        <f aca="false">IF(OR(A197="",$B$203=0),"",N(B197)/$B$203)</f>
        <v/>
      </c>
      <c r="D197" s="22"/>
      <c r="E197" s="23" t="str">
        <f aca="false">IF(A197="","",IF($B$193&gt;0,MIN(1,N(D197)/$B$193),0))</f>
        <v/>
      </c>
      <c r="F197" s="24" t="str">
        <f aca="false">IF(A197="","",N(B197)*$B$193)</f>
        <v/>
      </c>
      <c r="G197" s="24" t="str">
        <f aca="false">IF(A197="","",N(B197)*($B$193-MIN($B$193,N(D197))))</f>
        <v/>
      </c>
    </row>
    <row r="198" customFormat="false" ht="15" hidden="false" customHeight="false" outlineLevel="0" collapsed="false">
      <c r="A198" s="21"/>
      <c r="B198" s="22"/>
      <c r="C198" s="23" t="str">
        <f aca="false">IF(OR(A198="",$B$203=0),"",N(B198)/$B$203)</f>
        <v/>
      </c>
      <c r="D198" s="22"/>
      <c r="E198" s="23" t="str">
        <f aca="false">IF(A198="","",IF($B$193&gt;0,MIN(1,N(D198)/$B$193),0))</f>
        <v/>
      </c>
      <c r="F198" s="24" t="str">
        <f aca="false">IF(A198="","",N(B198)*$B$193)</f>
        <v/>
      </c>
      <c r="G198" s="24" t="str">
        <f aca="false">IF(A198="","",N(B198)*($B$193-MIN($B$193,N(D198))))</f>
        <v/>
      </c>
    </row>
    <row r="199" customFormat="false" ht="15" hidden="false" customHeight="false" outlineLevel="0" collapsed="false">
      <c r="A199" s="21"/>
      <c r="B199" s="22"/>
      <c r="C199" s="23" t="str">
        <f aca="false">IF(OR(A199="",$B$203=0),"",N(B199)/$B$203)</f>
        <v/>
      </c>
      <c r="D199" s="22"/>
      <c r="E199" s="23" t="str">
        <f aca="false">IF(A199="","",IF($B$193&gt;0,MIN(1,N(D199)/$B$193),0))</f>
        <v/>
      </c>
      <c r="F199" s="24" t="str">
        <f aca="false">IF(A199="","",N(B199)*$B$193)</f>
        <v/>
      </c>
      <c r="G199" s="24" t="str">
        <f aca="false">IF(A199="","",N(B199)*($B$193-MIN($B$193,N(D199))))</f>
        <v/>
      </c>
    </row>
    <row r="200" customFormat="false" ht="15" hidden="false" customHeight="false" outlineLevel="0" collapsed="false">
      <c r="A200" s="21"/>
      <c r="B200" s="22"/>
      <c r="C200" s="23" t="str">
        <f aca="false">IF(OR(A200="",$B$203=0),"",N(B200)/$B$203)</f>
        <v/>
      </c>
      <c r="D200" s="22"/>
      <c r="E200" s="23" t="str">
        <f aca="false">IF(A200="","",IF($B$193&gt;0,MIN(1,N(D200)/$B$193),0))</f>
        <v/>
      </c>
      <c r="F200" s="24" t="str">
        <f aca="false">IF(A200="","",N(B200)*$B$193)</f>
        <v/>
      </c>
      <c r="G200" s="24" t="str">
        <f aca="false">IF(A200="","",N(B200)*($B$193-MIN($B$193,N(D200))))</f>
        <v/>
      </c>
    </row>
    <row r="201" customFormat="false" ht="15" hidden="false" customHeight="false" outlineLevel="0" collapsed="false">
      <c r="A201" s="21"/>
      <c r="B201" s="22"/>
      <c r="C201" s="23" t="str">
        <f aca="false">IF(OR(A201="",$B$203=0),"",N(B201)/$B$203)</f>
        <v/>
      </c>
      <c r="D201" s="22"/>
      <c r="E201" s="23" t="str">
        <f aca="false">IF(A201="","",IF($B$193&gt;0,MIN(1,N(D201)/$B$193),0))</f>
        <v/>
      </c>
      <c r="F201" s="24" t="str">
        <f aca="false">IF(A201="","",N(B201)*$B$193)</f>
        <v/>
      </c>
      <c r="G201" s="24" t="str">
        <f aca="false">IF(A201="","",N(B201)*($B$193-MIN($B$193,N(D201))))</f>
        <v/>
      </c>
    </row>
    <row r="202" customFormat="false" ht="15" hidden="false" customHeight="false" outlineLevel="0" collapsed="false">
      <c r="A202" s="21"/>
      <c r="B202" s="22"/>
      <c r="C202" s="23" t="str">
        <f aca="false">IF(OR(A202="",$B$203=0),"",N(B202)/$B$203)</f>
        <v/>
      </c>
      <c r="D202" s="22"/>
      <c r="E202" s="23" t="str">
        <f aca="false">IF(A202="","",IF($B$193&gt;0,MIN(1,N(D202)/$B$193),0))</f>
        <v/>
      </c>
      <c r="F202" s="24" t="str">
        <f aca="false">IF(A202="","",N(B202)*$B$193)</f>
        <v/>
      </c>
      <c r="G202" s="24" t="str">
        <f aca="false">IF(A202="","",N(B202)*($B$193-MIN($B$193,N(D202))))</f>
        <v/>
      </c>
    </row>
    <row r="203" customFormat="false" ht="15" hidden="false" customHeight="false" outlineLevel="0" collapsed="false">
      <c r="A203" s="18" t="s">
        <v>29</v>
      </c>
      <c r="B203" s="26" t="n">
        <f aca="false">SUM(B195:B202)</f>
        <v>0</v>
      </c>
      <c r="C203" s="27"/>
      <c r="D203" s="27"/>
      <c r="E203" s="28" t="n">
        <f aca="false">IF(B203&gt;0,SUMPRODUCT(B195:B202,E195:E202)/B203,IF(COUNT(E195:E202)=0,0,SUM(E195:E202)/COUNT(E195:E202)))</f>
        <v>0</v>
      </c>
      <c r="F203" s="17" t="n">
        <f aca="false">SUM(F195:F202)</f>
        <v>0</v>
      </c>
      <c r="G203" s="17" t="n">
        <f aca="false">SUM(G195:G202)</f>
        <v>0</v>
      </c>
    </row>
    <row r="204" customFormat="false" ht="15" hidden="false" customHeight="false" outlineLevel="0" collapsed="false">
      <c r="A204" s="18" t="s">
        <v>30</v>
      </c>
      <c r="B204" s="27"/>
      <c r="C204" s="27"/>
      <c r="D204" s="27" t="str">
        <f aca="false">F193&amp;"/"&amp;B193</f>
        <v>0/10</v>
      </c>
      <c r="E204" s="28" t="n">
        <f aca="false">IF(B193&gt;0,MIN(1,F193/B193),0)</f>
        <v>0</v>
      </c>
      <c r="F204" s="27"/>
      <c r="G204" s="27"/>
    </row>
    <row r="207" customFormat="false" ht="21.75" hidden="false" customHeight="true" outlineLevel="0" collapsed="false">
      <c r="A207" s="11" t="s">
        <v>50</v>
      </c>
      <c r="B207" s="11"/>
      <c r="C207" s="11"/>
      <c r="D207" s="11"/>
      <c r="E207" s="12" t="s">
        <v>11</v>
      </c>
      <c r="F207" s="13" t="n">
        <f aca="false">C403</f>
        <v>0</v>
      </c>
      <c r="G207" s="11"/>
      <c r="O207" s="14" t="s">
        <v>12</v>
      </c>
      <c r="P207" s="15" t="n">
        <f aca="false">E218</f>
        <v>0</v>
      </c>
    </row>
    <row r="208" customFormat="false" ht="30" hidden="false" customHeight="true" outlineLevel="0" collapsed="false">
      <c r="A208" s="16" t="s">
        <v>13</v>
      </c>
      <c r="B208" s="17" t="n">
        <f aca="false">$B$4</f>
        <v>10</v>
      </c>
      <c r="C208" s="18"/>
      <c r="D208" s="18"/>
      <c r="E208" s="19" t="s">
        <v>14</v>
      </c>
      <c r="F208" s="17" t="n">
        <f aca="false">IF(COUNT(E210:E217)=0,0,ROUND(MIN(E210:E217)*B208,0))</f>
        <v>0</v>
      </c>
      <c r="G208" s="18"/>
      <c r="O208" s="14" t="s">
        <v>15</v>
      </c>
      <c r="P208" s="15" t="n">
        <f aca="false">1-P207</f>
        <v>1</v>
      </c>
    </row>
    <row r="209" customFormat="false" ht="30" hidden="false" customHeight="true" outlineLevel="0" collapsed="false">
      <c r="A209" s="20" t="s">
        <v>16</v>
      </c>
      <c r="B209" s="20" t="s">
        <v>17</v>
      </c>
      <c r="C209" s="20" t="s">
        <v>18</v>
      </c>
      <c r="D209" s="20" t="s">
        <v>19</v>
      </c>
      <c r="E209" s="20" t="s">
        <v>20</v>
      </c>
      <c r="F209" s="20" t="s">
        <v>21</v>
      </c>
      <c r="G209" s="20" t="s">
        <v>22</v>
      </c>
    </row>
    <row r="210" customFormat="false" ht="15" hidden="false" customHeight="false" outlineLevel="0" collapsed="false">
      <c r="A210" s="21"/>
      <c r="B210" s="22"/>
      <c r="C210" s="23" t="str">
        <f aca="false">IF(OR(A210="",$B$218=0),"",N(B210)/$B$218)</f>
        <v/>
      </c>
      <c r="D210" s="22"/>
      <c r="E210" s="23" t="str">
        <f aca="false">IF(A210="","",IF($B$208&gt;0,MIN(1,N(D210)/$B$208),0))</f>
        <v/>
      </c>
      <c r="F210" s="24" t="str">
        <f aca="false">IF(A210="","",N(B210)*$B$208)</f>
        <v/>
      </c>
      <c r="G210" s="24" t="str">
        <f aca="false">IF(A210="","",N(B210)*($B$208-MIN($B$208,N(D210))))</f>
        <v/>
      </c>
      <c r="O210" s="14" t="s">
        <v>24</v>
      </c>
      <c r="P210" s="25" t="n">
        <f aca="false">COUNTA(A210:A217)</f>
        <v>0</v>
      </c>
    </row>
    <row r="211" customFormat="false" ht="15" hidden="false" customHeight="false" outlineLevel="0" collapsed="false">
      <c r="A211" s="21"/>
      <c r="B211" s="22"/>
      <c r="C211" s="23" t="str">
        <f aca="false">IF(OR(A211="",$B$218=0),"",N(B211)/$B$218)</f>
        <v/>
      </c>
      <c r="D211" s="22"/>
      <c r="E211" s="23" t="str">
        <f aca="false">IF(A211="","",IF($B$208&gt;0,MIN(1,N(D211)/$B$208),0))</f>
        <v/>
      </c>
      <c r="F211" s="24" t="str">
        <f aca="false">IF(A211="","",N(B211)*$B$208)</f>
        <v/>
      </c>
      <c r="G211" s="24" t="str">
        <f aca="false">IF(A211="","",N(B211)*($B$208-MIN($B$208,N(D211))))</f>
        <v/>
      </c>
      <c r="O211" s="14" t="s">
        <v>26</v>
      </c>
      <c r="P211" s="25" t="n">
        <f aca="false">COUNTIF(E210:E217,"&gt;=1")</f>
        <v>0</v>
      </c>
    </row>
    <row r="212" customFormat="false" ht="15" hidden="false" customHeight="false" outlineLevel="0" collapsed="false">
      <c r="A212" s="21"/>
      <c r="B212" s="22"/>
      <c r="C212" s="23" t="str">
        <f aca="false">IF(OR(A212="",$B$218=0),"",N(B212)/$B$218)</f>
        <v/>
      </c>
      <c r="D212" s="22"/>
      <c r="E212" s="23" t="str">
        <f aca="false">IF(A212="","",IF($B$208&gt;0,MIN(1,N(D212)/$B$208),0))</f>
        <v/>
      </c>
      <c r="F212" s="24" t="str">
        <f aca="false">IF(A212="","",N(B212)*$B$208)</f>
        <v/>
      </c>
      <c r="G212" s="24" t="str">
        <f aca="false">IF(A212="","",N(B212)*($B$208-MIN($B$208,N(D212))))</f>
        <v/>
      </c>
    </row>
    <row r="213" customFormat="false" ht="15" hidden="false" customHeight="false" outlineLevel="0" collapsed="false">
      <c r="A213" s="21"/>
      <c r="B213" s="22"/>
      <c r="C213" s="23" t="str">
        <f aca="false">IF(OR(A213="",$B$218=0),"",N(B213)/$B$218)</f>
        <v/>
      </c>
      <c r="D213" s="22"/>
      <c r="E213" s="23" t="str">
        <f aca="false">IF(A213="","",IF($B$208&gt;0,MIN(1,N(D213)/$B$208),0))</f>
        <v/>
      </c>
      <c r="F213" s="24" t="str">
        <f aca="false">IF(A213="","",N(B213)*$B$208)</f>
        <v/>
      </c>
      <c r="G213" s="24" t="str">
        <f aca="false">IF(A213="","",N(B213)*($B$208-MIN($B$208,N(D213))))</f>
        <v/>
      </c>
    </row>
    <row r="214" customFormat="false" ht="15" hidden="false" customHeight="false" outlineLevel="0" collapsed="false">
      <c r="A214" s="21"/>
      <c r="B214" s="22"/>
      <c r="C214" s="23" t="str">
        <f aca="false">IF(OR(A214="",$B$218=0),"",N(B214)/$B$218)</f>
        <v/>
      </c>
      <c r="D214" s="22"/>
      <c r="E214" s="23" t="str">
        <f aca="false">IF(A214="","",IF($B$208&gt;0,MIN(1,N(D214)/$B$208),0))</f>
        <v/>
      </c>
      <c r="F214" s="24" t="str">
        <f aca="false">IF(A214="","",N(B214)*$B$208)</f>
        <v/>
      </c>
      <c r="G214" s="24" t="str">
        <f aca="false">IF(A214="","",N(B214)*($B$208-MIN($B$208,N(D214))))</f>
        <v/>
      </c>
    </row>
    <row r="215" customFormat="false" ht="15" hidden="false" customHeight="false" outlineLevel="0" collapsed="false">
      <c r="A215" s="21"/>
      <c r="B215" s="22"/>
      <c r="C215" s="23" t="str">
        <f aca="false">IF(OR(A215="",$B$218=0),"",N(B215)/$B$218)</f>
        <v/>
      </c>
      <c r="D215" s="22"/>
      <c r="E215" s="23" t="str">
        <f aca="false">IF(A215="","",IF($B$208&gt;0,MIN(1,N(D215)/$B$208),0))</f>
        <v/>
      </c>
      <c r="F215" s="24" t="str">
        <f aca="false">IF(A215="","",N(B215)*$B$208)</f>
        <v/>
      </c>
      <c r="G215" s="24" t="str">
        <f aca="false">IF(A215="","",N(B215)*($B$208-MIN($B$208,N(D215))))</f>
        <v/>
      </c>
    </row>
    <row r="216" customFormat="false" ht="15" hidden="false" customHeight="false" outlineLevel="0" collapsed="false">
      <c r="A216" s="21"/>
      <c r="B216" s="22"/>
      <c r="C216" s="23" t="str">
        <f aca="false">IF(OR(A216="",$B$218=0),"",N(B216)/$B$218)</f>
        <v/>
      </c>
      <c r="D216" s="22"/>
      <c r="E216" s="23" t="str">
        <f aca="false">IF(A216="","",IF($B$208&gt;0,MIN(1,N(D216)/$B$208),0))</f>
        <v/>
      </c>
      <c r="F216" s="24" t="str">
        <f aca="false">IF(A216="","",N(B216)*$B$208)</f>
        <v/>
      </c>
      <c r="G216" s="24" t="str">
        <f aca="false">IF(A216="","",N(B216)*($B$208-MIN($B$208,N(D216))))</f>
        <v/>
      </c>
    </row>
    <row r="217" customFormat="false" ht="15" hidden="false" customHeight="false" outlineLevel="0" collapsed="false">
      <c r="A217" s="21"/>
      <c r="B217" s="22"/>
      <c r="C217" s="23" t="str">
        <f aca="false">IF(OR(A217="",$B$218=0),"",N(B217)/$B$218)</f>
        <v/>
      </c>
      <c r="D217" s="22"/>
      <c r="E217" s="23" t="str">
        <f aca="false">IF(A217="","",IF($B$208&gt;0,MIN(1,N(D217)/$B$208),0))</f>
        <v/>
      </c>
      <c r="F217" s="24" t="str">
        <f aca="false">IF(A217="","",N(B217)*$B$208)</f>
        <v/>
      </c>
      <c r="G217" s="24" t="str">
        <f aca="false">IF(A217="","",N(B217)*($B$208-MIN($B$208,N(D217))))</f>
        <v/>
      </c>
    </row>
    <row r="218" customFormat="false" ht="15" hidden="false" customHeight="false" outlineLevel="0" collapsed="false">
      <c r="A218" s="18" t="s">
        <v>29</v>
      </c>
      <c r="B218" s="26" t="n">
        <f aca="false">SUM(B210:B217)</f>
        <v>0</v>
      </c>
      <c r="C218" s="27"/>
      <c r="D218" s="27"/>
      <c r="E218" s="28" t="n">
        <f aca="false">IF(B218&gt;0,SUMPRODUCT(B210:B217,E210:E217)/B218,IF(COUNT(E210:E217)=0,0,SUM(E210:E217)/COUNT(E210:E217)))</f>
        <v>0</v>
      </c>
      <c r="F218" s="17" t="n">
        <f aca="false">SUM(F210:F217)</f>
        <v>0</v>
      </c>
      <c r="G218" s="17" t="n">
        <f aca="false">SUM(G210:G217)</f>
        <v>0</v>
      </c>
    </row>
    <row r="219" customFormat="false" ht="15" hidden="false" customHeight="false" outlineLevel="0" collapsed="false">
      <c r="A219" s="18" t="s">
        <v>30</v>
      </c>
      <c r="B219" s="27"/>
      <c r="C219" s="27"/>
      <c r="D219" s="27" t="str">
        <f aca="false">F208&amp;"/"&amp;B208</f>
        <v>0/10</v>
      </c>
      <c r="E219" s="28" t="n">
        <f aca="false">IF(B208&gt;0,MIN(1,F208/B208),0)</f>
        <v>0</v>
      </c>
      <c r="F219" s="27"/>
      <c r="G219" s="27"/>
    </row>
    <row r="222" customFormat="false" ht="21.75" hidden="false" customHeight="true" outlineLevel="0" collapsed="false">
      <c r="A222" s="11" t="s">
        <v>51</v>
      </c>
      <c r="B222" s="11"/>
      <c r="C222" s="11"/>
      <c r="D222" s="11"/>
      <c r="E222" s="12" t="s">
        <v>11</v>
      </c>
      <c r="F222" s="13" t="n">
        <f aca="false">C404</f>
        <v>0</v>
      </c>
      <c r="G222" s="11"/>
      <c r="O222" s="14" t="s">
        <v>12</v>
      </c>
      <c r="P222" s="15" t="n">
        <f aca="false">E233</f>
        <v>0</v>
      </c>
    </row>
    <row r="223" customFormat="false" ht="30" hidden="false" customHeight="true" outlineLevel="0" collapsed="false">
      <c r="A223" s="16" t="s">
        <v>13</v>
      </c>
      <c r="B223" s="17" t="n">
        <f aca="false">$B$4</f>
        <v>10</v>
      </c>
      <c r="C223" s="18"/>
      <c r="D223" s="18"/>
      <c r="E223" s="19" t="s">
        <v>14</v>
      </c>
      <c r="F223" s="17" t="n">
        <f aca="false">IF(COUNT(E225:E232)=0,0,ROUND(MIN(E225:E232)*B223,0))</f>
        <v>0</v>
      </c>
      <c r="G223" s="18"/>
      <c r="O223" s="14" t="s">
        <v>15</v>
      </c>
      <c r="P223" s="15" t="n">
        <f aca="false">1-P222</f>
        <v>1</v>
      </c>
    </row>
    <row r="224" customFormat="false" ht="30" hidden="false" customHeight="true" outlineLevel="0" collapsed="false">
      <c r="A224" s="20" t="s">
        <v>16</v>
      </c>
      <c r="B224" s="20" t="s">
        <v>17</v>
      </c>
      <c r="C224" s="20" t="s">
        <v>18</v>
      </c>
      <c r="D224" s="20" t="s">
        <v>19</v>
      </c>
      <c r="E224" s="20" t="s">
        <v>20</v>
      </c>
      <c r="F224" s="20" t="s">
        <v>21</v>
      </c>
      <c r="G224" s="20" t="s">
        <v>22</v>
      </c>
    </row>
    <row r="225" customFormat="false" ht="15" hidden="false" customHeight="false" outlineLevel="0" collapsed="false">
      <c r="A225" s="21"/>
      <c r="B225" s="22"/>
      <c r="C225" s="23" t="str">
        <f aca="false">IF(OR(A225="",$B$233=0),"",N(B225)/$B$233)</f>
        <v/>
      </c>
      <c r="D225" s="22"/>
      <c r="E225" s="23" t="str">
        <f aca="false">IF(A225="","",IF($B$223&gt;0,MIN(1,N(D225)/$B$223),0))</f>
        <v/>
      </c>
      <c r="F225" s="24" t="str">
        <f aca="false">IF(A225="","",N(B225)*$B$223)</f>
        <v/>
      </c>
      <c r="G225" s="24" t="str">
        <f aca="false">IF(A225="","",N(B225)*($B$223-MIN($B$223,N(D225))))</f>
        <v/>
      </c>
      <c r="O225" s="14" t="s">
        <v>24</v>
      </c>
      <c r="P225" s="25" t="n">
        <f aca="false">COUNTA(A225:A232)</f>
        <v>0</v>
      </c>
    </row>
    <row r="226" customFormat="false" ht="15" hidden="false" customHeight="false" outlineLevel="0" collapsed="false">
      <c r="A226" s="21"/>
      <c r="B226" s="22"/>
      <c r="C226" s="23" t="str">
        <f aca="false">IF(OR(A226="",$B$233=0),"",N(B226)/$B$233)</f>
        <v/>
      </c>
      <c r="D226" s="22"/>
      <c r="E226" s="23" t="str">
        <f aca="false">IF(A226="","",IF($B$223&gt;0,MIN(1,N(D226)/$B$223),0))</f>
        <v/>
      </c>
      <c r="F226" s="24" t="str">
        <f aca="false">IF(A226="","",N(B226)*$B$223)</f>
        <v/>
      </c>
      <c r="G226" s="24" t="str">
        <f aca="false">IF(A226="","",N(B226)*($B$223-MIN($B$223,N(D226))))</f>
        <v/>
      </c>
      <c r="O226" s="14" t="s">
        <v>26</v>
      </c>
      <c r="P226" s="25" t="n">
        <f aca="false">COUNTIF(E225:E232,"&gt;=1")</f>
        <v>0</v>
      </c>
    </row>
    <row r="227" customFormat="false" ht="15" hidden="false" customHeight="false" outlineLevel="0" collapsed="false">
      <c r="A227" s="21"/>
      <c r="B227" s="22"/>
      <c r="C227" s="23" t="str">
        <f aca="false">IF(OR(A227="",$B$233=0),"",N(B227)/$B$233)</f>
        <v/>
      </c>
      <c r="D227" s="22"/>
      <c r="E227" s="23" t="str">
        <f aca="false">IF(A227="","",IF($B$223&gt;0,MIN(1,N(D227)/$B$223),0))</f>
        <v/>
      </c>
      <c r="F227" s="24" t="str">
        <f aca="false">IF(A227="","",N(B227)*$B$223)</f>
        <v/>
      </c>
      <c r="G227" s="24" t="str">
        <f aca="false">IF(A227="","",N(B227)*($B$223-MIN($B$223,N(D227))))</f>
        <v/>
      </c>
    </row>
    <row r="228" customFormat="false" ht="15" hidden="false" customHeight="false" outlineLevel="0" collapsed="false">
      <c r="A228" s="21"/>
      <c r="B228" s="22"/>
      <c r="C228" s="23" t="str">
        <f aca="false">IF(OR(A228="",$B$233=0),"",N(B228)/$B$233)</f>
        <v/>
      </c>
      <c r="D228" s="22"/>
      <c r="E228" s="23" t="str">
        <f aca="false">IF(A228="","",IF($B$223&gt;0,MIN(1,N(D228)/$B$223),0))</f>
        <v/>
      </c>
      <c r="F228" s="24" t="str">
        <f aca="false">IF(A228="","",N(B228)*$B$223)</f>
        <v/>
      </c>
      <c r="G228" s="24" t="str">
        <f aca="false">IF(A228="","",N(B228)*($B$223-MIN($B$223,N(D228))))</f>
        <v/>
      </c>
    </row>
    <row r="229" customFormat="false" ht="15" hidden="false" customHeight="false" outlineLevel="0" collapsed="false">
      <c r="A229" s="21"/>
      <c r="B229" s="22"/>
      <c r="C229" s="23" t="str">
        <f aca="false">IF(OR(A229="",$B$233=0),"",N(B229)/$B$233)</f>
        <v/>
      </c>
      <c r="D229" s="22"/>
      <c r="E229" s="23" t="str">
        <f aca="false">IF(A229="","",IF($B$223&gt;0,MIN(1,N(D229)/$B$223),0))</f>
        <v/>
      </c>
      <c r="F229" s="24" t="str">
        <f aca="false">IF(A229="","",N(B229)*$B$223)</f>
        <v/>
      </c>
      <c r="G229" s="24" t="str">
        <f aca="false">IF(A229="","",N(B229)*($B$223-MIN($B$223,N(D229))))</f>
        <v/>
      </c>
    </row>
    <row r="230" customFormat="false" ht="15" hidden="false" customHeight="false" outlineLevel="0" collapsed="false">
      <c r="A230" s="21"/>
      <c r="B230" s="22"/>
      <c r="C230" s="23" t="str">
        <f aca="false">IF(OR(A230="",$B$233=0),"",N(B230)/$B$233)</f>
        <v/>
      </c>
      <c r="D230" s="22"/>
      <c r="E230" s="23" t="str">
        <f aca="false">IF(A230="","",IF($B$223&gt;0,MIN(1,N(D230)/$B$223),0))</f>
        <v/>
      </c>
      <c r="F230" s="24" t="str">
        <f aca="false">IF(A230="","",N(B230)*$B$223)</f>
        <v/>
      </c>
      <c r="G230" s="24" t="str">
        <f aca="false">IF(A230="","",N(B230)*($B$223-MIN($B$223,N(D230))))</f>
        <v/>
      </c>
    </row>
    <row r="231" customFormat="false" ht="15" hidden="false" customHeight="false" outlineLevel="0" collapsed="false">
      <c r="A231" s="21"/>
      <c r="B231" s="22"/>
      <c r="C231" s="23" t="str">
        <f aca="false">IF(OR(A231="",$B$233=0),"",N(B231)/$B$233)</f>
        <v/>
      </c>
      <c r="D231" s="22"/>
      <c r="E231" s="23" t="str">
        <f aca="false">IF(A231="","",IF($B$223&gt;0,MIN(1,N(D231)/$B$223),0))</f>
        <v/>
      </c>
      <c r="F231" s="24" t="str">
        <f aca="false">IF(A231="","",N(B231)*$B$223)</f>
        <v/>
      </c>
      <c r="G231" s="24" t="str">
        <f aca="false">IF(A231="","",N(B231)*($B$223-MIN($B$223,N(D231))))</f>
        <v/>
      </c>
    </row>
    <row r="232" customFormat="false" ht="15" hidden="false" customHeight="false" outlineLevel="0" collapsed="false">
      <c r="A232" s="21"/>
      <c r="B232" s="22"/>
      <c r="C232" s="23" t="str">
        <f aca="false">IF(OR(A232="",$B$233=0),"",N(B232)/$B$233)</f>
        <v/>
      </c>
      <c r="D232" s="22"/>
      <c r="E232" s="23" t="str">
        <f aca="false">IF(A232="","",IF($B$223&gt;0,MIN(1,N(D232)/$B$223),0))</f>
        <v/>
      </c>
      <c r="F232" s="24" t="str">
        <f aca="false">IF(A232="","",N(B232)*$B$223)</f>
        <v/>
      </c>
      <c r="G232" s="24" t="str">
        <f aca="false">IF(A232="","",N(B232)*($B$223-MIN($B$223,N(D232))))</f>
        <v/>
      </c>
    </row>
    <row r="233" customFormat="false" ht="15" hidden="false" customHeight="false" outlineLevel="0" collapsed="false">
      <c r="A233" s="18" t="s">
        <v>29</v>
      </c>
      <c r="B233" s="26" t="n">
        <f aca="false">SUM(B225:B232)</f>
        <v>0</v>
      </c>
      <c r="C233" s="27"/>
      <c r="D233" s="27"/>
      <c r="E233" s="28" t="n">
        <f aca="false">IF(B233&gt;0,SUMPRODUCT(B225:B232,E225:E232)/B233,IF(COUNT(E225:E232)=0,0,SUM(E225:E232)/COUNT(E225:E232)))</f>
        <v>0</v>
      </c>
      <c r="F233" s="17" t="n">
        <f aca="false">SUM(F225:F232)</f>
        <v>0</v>
      </c>
      <c r="G233" s="17" t="n">
        <f aca="false">SUM(G225:G232)</f>
        <v>0</v>
      </c>
    </row>
    <row r="234" customFormat="false" ht="15" hidden="false" customHeight="false" outlineLevel="0" collapsed="false">
      <c r="A234" s="18" t="s">
        <v>30</v>
      </c>
      <c r="B234" s="27"/>
      <c r="C234" s="27"/>
      <c r="D234" s="27" t="str">
        <f aca="false">F223&amp;"/"&amp;B223</f>
        <v>0/10</v>
      </c>
      <c r="E234" s="28" t="n">
        <f aca="false">IF(B223&gt;0,MIN(1,F223/B223),0)</f>
        <v>0</v>
      </c>
      <c r="F234" s="27"/>
      <c r="G234" s="27"/>
    </row>
    <row r="237" customFormat="false" ht="21.75" hidden="false" customHeight="true" outlineLevel="0" collapsed="false">
      <c r="A237" s="11" t="s">
        <v>52</v>
      </c>
      <c r="B237" s="11"/>
      <c r="C237" s="11"/>
      <c r="D237" s="11"/>
      <c r="E237" s="12" t="s">
        <v>11</v>
      </c>
      <c r="F237" s="13" t="n">
        <f aca="false">C405</f>
        <v>0</v>
      </c>
      <c r="G237" s="11"/>
      <c r="O237" s="14" t="s">
        <v>12</v>
      </c>
      <c r="P237" s="15" t="n">
        <f aca="false">E248</f>
        <v>0</v>
      </c>
    </row>
    <row r="238" customFormat="false" ht="30" hidden="false" customHeight="true" outlineLevel="0" collapsed="false">
      <c r="A238" s="16" t="s">
        <v>13</v>
      </c>
      <c r="B238" s="17" t="n">
        <f aca="false">$B$4</f>
        <v>10</v>
      </c>
      <c r="C238" s="18"/>
      <c r="D238" s="18"/>
      <c r="E238" s="19" t="s">
        <v>14</v>
      </c>
      <c r="F238" s="17" t="n">
        <f aca="false">IF(COUNT(E240:E247)=0,0,ROUND(MIN(E240:E247)*B238,0))</f>
        <v>0</v>
      </c>
      <c r="G238" s="18"/>
      <c r="O238" s="14" t="s">
        <v>15</v>
      </c>
      <c r="P238" s="15" t="n">
        <f aca="false">1-P237</f>
        <v>1</v>
      </c>
    </row>
    <row r="239" customFormat="false" ht="30" hidden="false" customHeight="true" outlineLevel="0" collapsed="false">
      <c r="A239" s="20" t="s">
        <v>16</v>
      </c>
      <c r="B239" s="20" t="s">
        <v>17</v>
      </c>
      <c r="C239" s="20" t="s">
        <v>18</v>
      </c>
      <c r="D239" s="20" t="s">
        <v>19</v>
      </c>
      <c r="E239" s="20" t="s">
        <v>20</v>
      </c>
      <c r="F239" s="20" t="s">
        <v>21</v>
      </c>
      <c r="G239" s="20" t="s">
        <v>22</v>
      </c>
    </row>
    <row r="240" customFormat="false" ht="15" hidden="false" customHeight="false" outlineLevel="0" collapsed="false">
      <c r="A240" s="21"/>
      <c r="B240" s="22"/>
      <c r="C240" s="23" t="str">
        <f aca="false">IF(OR(A240="",$B$248=0),"",N(B240)/$B$248)</f>
        <v/>
      </c>
      <c r="D240" s="22"/>
      <c r="E240" s="23" t="str">
        <f aca="false">IF(A240="","",IF($B$238&gt;0,MIN(1,N(D240)/$B$238),0))</f>
        <v/>
      </c>
      <c r="F240" s="24" t="str">
        <f aca="false">IF(A240="","",N(B240)*$B$238)</f>
        <v/>
      </c>
      <c r="G240" s="24" t="str">
        <f aca="false">IF(A240="","",N(B240)*($B$238-MIN($B$238,N(D240))))</f>
        <v/>
      </c>
      <c r="O240" s="14" t="s">
        <v>24</v>
      </c>
      <c r="P240" s="25" t="n">
        <f aca="false">COUNTA(A240:A247)</f>
        <v>0</v>
      </c>
    </row>
    <row r="241" customFormat="false" ht="15" hidden="false" customHeight="false" outlineLevel="0" collapsed="false">
      <c r="A241" s="21"/>
      <c r="B241" s="22"/>
      <c r="C241" s="23" t="str">
        <f aca="false">IF(OR(A241="",$B$248=0),"",N(B241)/$B$248)</f>
        <v/>
      </c>
      <c r="D241" s="22"/>
      <c r="E241" s="23" t="str">
        <f aca="false">IF(A241="","",IF($B$238&gt;0,MIN(1,N(D241)/$B$238),0))</f>
        <v/>
      </c>
      <c r="F241" s="24" t="str">
        <f aca="false">IF(A241="","",N(B241)*$B$238)</f>
        <v/>
      </c>
      <c r="G241" s="24" t="str">
        <f aca="false">IF(A241="","",N(B241)*($B$238-MIN($B$238,N(D241))))</f>
        <v/>
      </c>
      <c r="O241" s="14" t="s">
        <v>26</v>
      </c>
      <c r="P241" s="25" t="n">
        <f aca="false">COUNTIF(E240:E247,"&gt;=1")</f>
        <v>0</v>
      </c>
    </row>
    <row r="242" customFormat="false" ht="15" hidden="false" customHeight="false" outlineLevel="0" collapsed="false">
      <c r="A242" s="21"/>
      <c r="B242" s="22"/>
      <c r="C242" s="23" t="str">
        <f aca="false">IF(OR(A242="",$B$248=0),"",N(B242)/$B$248)</f>
        <v/>
      </c>
      <c r="D242" s="22"/>
      <c r="E242" s="23" t="str">
        <f aca="false">IF(A242="","",IF($B$238&gt;0,MIN(1,N(D242)/$B$238),0))</f>
        <v/>
      </c>
      <c r="F242" s="24" t="str">
        <f aca="false">IF(A242="","",N(B242)*$B$238)</f>
        <v/>
      </c>
      <c r="G242" s="24" t="str">
        <f aca="false">IF(A242="","",N(B242)*($B$238-MIN($B$238,N(D242))))</f>
        <v/>
      </c>
    </row>
    <row r="243" customFormat="false" ht="15" hidden="false" customHeight="false" outlineLevel="0" collapsed="false">
      <c r="A243" s="21"/>
      <c r="B243" s="22"/>
      <c r="C243" s="23" t="str">
        <f aca="false">IF(OR(A243="",$B$248=0),"",N(B243)/$B$248)</f>
        <v/>
      </c>
      <c r="D243" s="22"/>
      <c r="E243" s="23" t="str">
        <f aca="false">IF(A243="","",IF($B$238&gt;0,MIN(1,N(D243)/$B$238),0))</f>
        <v/>
      </c>
      <c r="F243" s="24" t="str">
        <f aca="false">IF(A243="","",N(B243)*$B$238)</f>
        <v/>
      </c>
      <c r="G243" s="24" t="str">
        <f aca="false">IF(A243="","",N(B243)*($B$238-MIN($B$238,N(D243))))</f>
        <v/>
      </c>
    </row>
    <row r="244" customFormat="false" ht="15" hidden="false" customHeight="false" outlineLevel="0" collapsed="false">
      <c r="A244" s="21"/>
      <c r="B244" s="22"/>
      <c r="C244" s="23" t="str">
        <f aca="false">IF(OR(A244="",$B$248=0),"",N(B244)/$B$248)</f>
        <v/>
      </c>
      <c r="D244" s="22"/>
      <c r="E244" s="23" t="str">
        <f aca="false">IF(A244="","",IF($B$238&gt;0,MIN(1,N(D244)/$B$238),0))</f>
        <v/>
      </c>
      <c r="F244" s="24" t="str">
        <f aca="false">IF(A244="","",N(B244)*$B$238)</f>
        <v/>
      </c>
      <c r="G244" s="24" t="str">
        <f aca="false">IF(A244="","",N(B244)*($B$238-MIN($B$238,N(D244))))</f>
        <v/>
      </c>
    </row>
    <row r="245" customFormat="false" ht="15" hidden="false" customHeight="false" outlineLevel="0" collapsed="false">
      <c r="A245" s="21"/>
      <c r="B245" s="22"/>
      <c r="C245" s="23" t="str">
        <f aca="false">IF(OR(A245="",$B$248=0),"",N(B245)/$B$248)</f>
        <v/>
      </c>
      <c r="D245" s="22"/>
      <c r="E245" s="23" t="str">
        <f aca="false">IF(A245="","",IF($B$238&gt;0,MIN(1,N(D245)/$B$238),0))</f>
        <v/>
      </c>
      <c r="F245" s="24" t="str">
        <f aca="false">IF(A245="","",N(B245)*$B$238)</f>
        <v/>
      </c>
      <c r="G245" s="24" t="str">
        <f aca="false">IF(A245="","",N(B245)*($B$238-MIN($B$238,N(D245))))</f>
        <v/>
      </c>
    </row>
    <row r="246" customFormat="false" ht="15" hidden="false" customHeight="false" outlineLevel="0" collapsed="false">
      <c r="A246" s="21"/>
      <c r="B246" s="22"/>
      <c r="C246" s="23" t="str">
        <f aca="false">IF(OR(A246="",$B$248=0),"",N(B246)/$B$248)</f>
        <v/>
      </c>
      <c r="D246" s="22"/>
      <c r="E246" s="23" t="str">
        <f aca="false">IF(A246="","",IF($B$238&gt;0,MIN(1,N(D246)/$B$238),0))</f>
        <v/>
      </c>
      <c r="F246" s="24" t="str">
        <f aca="false">IF(A246="","",N(B246)*$B$238)</f>
        <v/>
      </c>
      <c r="G246" s="24" t="str">
        <f aca="false">IF(A246="","",N(B246)*($B$238-MIN($B$238,N(D246))))</f>
        <v/>
      </c>
    </row>
    <row r="247" customFormat="false" ht="15" hidden="false" customHeight="false" outlineLevel="0" collapsed="false">
      <c r="A247" s="21"/>
      <c r="B247" s="22"/>
      <c r="C247" s="23" t="str">
        <f aca="false">IF(OR(A247="",$B$248=0),"",N(B247)/$B$248)</f>
        <v/>
      </c>
      <c r="D247" s="22"/>
      <c r="E247" s="23" t="str">
        <f aca="false">IF(A247="","",IF($B$238&gt;0,MIN(1,N(D247)/$B$238),0))</f>
        <v/>
      </c>
      <c r="F247" s="24" t="str">
        <f aca="false">IF(A247="","",N(B247)*$B$238)</f>
        <v/>
      </c>
      <c r="G247" s="24" t="str">
        <f aca="false">IF(A247="","",N(B247)*($B$238-MIN($B$238,N(D247))))</f>
        <v/>
      </c>
    </row>
    <row r="248" customFormat="false" ht="15" hidden="false" customHeight="false" outlineLevel="0" collapsed="false">
      <c r="A248" s="18" t="s">
        <v>29</v>
      </c>
      <c r="B248" s="26" t="n">
        <f aca="false">SUM(B240:B247)</f>
        <v>0</v>
      </c>
      <c r="C248" s="27"/>
      <c r="D248" s="27"/>
      <c r="E248" s="28" t="n">
        <f aca="false">IF(B248&gt;0,SUMPRODUCT(B240:B247,E240:E247)/B248,IF(COUNT(E240:E247)=0,0,SUM(E240:E247)/COUNT(E240:E247)))</f>
        <v>0</v>
      </c>
      <c r="F248" s="17" t="n">
        <f aca="false">SUM(F240:F247)</f>
        <v>0</v>
      </c>
      <c r="G248" s="17" t="n">
        <f aca="false">SUM(G240:G247)</f>
        <v>0</v>
      </c>
    </row>
    <row r="249" customFormat="false" ht="15" hidden="false" customHeight="false" outlineLevel="0" collapsed="false">
      <c r="A249" s="18" t="s">
        <v>30</v>
      </c>
      <c r="B249" s="27"/>
      <c r="C249" s="27"/>
      <c r="D249" s="27" t="str">
        <f aca="false">F238&amp;"/"&amp;B238</f>
        <v>0/10</v>
      </c>
      <c r="E249" s="28" t="n">
        <f aca="false">IF(B238&gt;0,MIN(1,F238/B238),0)</f>
        <v>0</v>
      </c>
      <c r="F249" s="27"/>
      <c r="G249" s="27"/>
    </row>
    <row r="252" customFormat="false" ht="21.75" hidden="false" customHeight="true" outlineLevel="0" collapsed="false">
      <c r="A252" s="11" t="s">
        <v>53</v>
      </c>
      <c r="B252" s="11"/>
      <c r="C252" s="11"/>
      <c r="D252" s="11"/>
      <c r="E252" s="12" t="s">
        <v>11</v>
      </c>
      <c r="F252" s="13" t="n">
        <f aca="false">C406</f>
        <v>0</v>
      </c>
      <c r="G252" s="11"/>
      <c r="O252" s="14" t="s">
        <v>12</v>
      </c>
      <c r="P252" s="15" t="n">
        <f aca="false">E263</f>
        <v>0</v>
      </c>
    </row>
    <row r="253" customFormat="false" ht="30" hidden="false" customHeight="true" outlineLevel="0" collapsed="false">
      <c r="A253" s="16" t="s">
        <v>13</v>
      </c>
      <c r="B253" s="17" t="n">
        <f aca="false">$B$4</f>
        <v>10</v>
      </c>
      <c r="C253" s="18"/>
      <c r="D253" s="18"/>
      <c r="E253" s="19" t="s">
        <v>14</v>
      </c>
      <c r="F253" s="17" t="n">
        <f aca="false">IF(COUNT(E255:E262)=0,0,ROUND(MIN(E255:E262)*B253,0))</f>
        <v>0</v>
      </c>
      <c r="G253" s="18"/>
      <c r="O253" s="14" t="s">
        <v>15</v>
      </c>
      <c r="P253" s="15" t="n">
        <f aca="false">1-P252</f>
        <v>1</v>
      </c>
    </row>
    <row r="254" customFormat="false" ht="30" hidden="false" customHeight="true" outlineLevel="0" collapsed="false">
      <c r="A254" s="20" t="s">
        <v>16</v>
      </c>
      <c r="B254" s="20" t="s">
        <v>17</v>
      </c>
      <c r="C254" s="20" t="s">
        <v>18</v>
      </c>
      <c r="D254" s="20" t="s">
        <v>19</v>
      </c>
      <c r="E254" s="20" t="s">
        <v>20</v>
      </c>
      <c r="F254" s="20" t="s">
        <v>21</v>
      </c>
      <c r="G254" s="20" t="s">
        <v>22</v>
      </c>
    </row>
    <row r="255" customFormat="false" ht="15" hidden="false" customHeight="false" outlineLevel="0" collapsed="false">
      <c r="A255" s="21"/>
      <c r="B255" s="22"/>
      <c r="C255" s="23" t="str">
        <f aca="false">IF(OR(A255="",$B$263=0),"",N(B255)/$B$263)</f>
        <v/>
      </c>
      <c r="D255" s="22"/>
      <c r="E255" s="23" t="str">
        <f aca="false">IF(A255="","",IF($B$253&gt;0,MIN(1,N(D255)/$B$253),0))</f>
        <v/>
      </c>
      <c r="F255" s="24" t="str">
        <f aca="false">IF(A255="","",N(B255)*$B$253)</f>
        <v/>
      </c>
      <c r="G255" s="24" t="str">
        <f aca="false">IF(A255="","",N(B255)*($B$253-MIN($B$253,N(D255))))</f>
        <v/>
      </c>
      <c r="O255" s="14" t="s">
        <v>24</v>
      </c>
      <c r="P255" s="25" t="n">
        <f aca="false">COUNTA(A255:A262)</f>
        <v>0</v>
      </c>
    </row>
    <row r="256" customFormat="false" ht="15" hidden="false" customHeight="false" outlineLevel="0" collapsed="false">
      <c r="A256" s="21"/>
      <c r="B256" s="22"/>
      <c r="C256" s="23" t="str">
        <f aca="false">IF(OR(A256="",$B$263=0),"",N(B256)/$B$263)</f>
        <v/>
      </c>
      <c r="D256" s="22"/>
      <c r="E256" s="23" t="str">
        <f aca="false">IF(A256="","",IF($B$253&gt;0,MIN(1,N(D256)/$B$253),0))</f>
        <v/>
      </c>
      <c r="F256" s="24" t="str">
        <f aca="false">IF(A256="","",N(B256)*$B$253)</f>
        <v/>
      </c>
      <c r="G256" s="24" t="str">
        <f aca="false">IF(A256="","",N(B256)*($B$253-MIN($B$253,N(D256))))</f>
        <v/>
      </c>
      <c r="O256" s="14" t="s">
        <v>26</v>
      </c>
      <c r="P256" s="25" t="n">
        <f aca="false">COUNTIF(E255:E262,"&gt;=1")</f>
        <v>0</v>
      </c>
    </row>
    <row r="257" customFormat="false" ht="15" hidden="false" customHeight="false" outlineLevel="0" collapsed="false">
      <c r="A257" s="21"/>
      <c r="B257" s="22"/>
      <c r="C257" s="23" t="str">
        <f aca="false">IF(OR(A257="",$B$263=0),"",N(B257)/$B$263)</f>
        <v/>
      </c>
      <c r="D257" s="22"/>
      <c r="E257" s="23" t="str">
        <f aca="false">IF(A257="","",IF($B$253&gt;0,MIN(1,N(D257)/$B$253),0))</f>
        <v/>
      </c>
      <c r="F257" s="24" t="str">
        <f aca="false">IF(A257="","",N(B257)*$B$253)</f>
        <v/>
      </c>
      <c r="G257" s="24" t="str">
        <f aca="false">IF(A257="","",N(B257)*($B$253-MIN($B$253,N(D257))))</f>
        <v/>
      </c>
    </row>
    <row r="258" customFormat="false" ht="15" hidden="false" customHeight="false" outlineLevel="0" collapsed="false">
      <c r="A258" s="21"/>
      <c r="B258" s="22"/>
      <c r="C258" s="23" t="str">
        <f aca="false">IF(OR(A258="",$B$263=0),"",N(B258)/$B$263)</f>
        <v/>
      </c>
      <c r="D258" s="22"/>
      <c r="E258" s="23" t="str">
        <f aca="false">IF(A258="","",IF($B$253&gt;0,MIN(1,N(D258)/$B$253),0))</f>
        <v/>
      </c>
      <c r="F258" s="24" t="str">
        <f aca="false">IF(A258="","",N(B258)*$B$253)</f>
        <v/>
      </c>
      <c r="G258" s="24" t="str">
        <f aca="false">IF(A258="","",N(B258)*($B$253-MIN($B$253,N(D258))))</f>
        <v/>
      </c>
    </row>
    <row r="259" customFormat="false" ht="15" hidden="false" customHeight="false" outlineLevel="0" collapsed="false">
      <c r="A259" s="21"/>
      <c r="B259" s="22"/>
      <c r="C259" s="23" t="str">
        <f aca="false">IF(OR(A259="",$B$263=0),"",N(B259)/$B$263)</f>
        <v/>
      </c>
      <c r="D259" s="22"/>
      <c r="E259" s="23" t="str">
        <f aca="false">IF(A259="","",IF($B$253&gt;0,MIN(1,N(D259)/$B$253),0))</f>
        <v/>
      </c>
      <c r="F259" s="24" t="str">
        <f aca="false">IF(A259="","",N(B259)*$B$253)</f>
        <v/>
      </c>
      <c r="G259" s="24" t="str">
        <f aca="false">IF(A259="","",N(B259)*($B$253-MIN($B$253,N(D259))))</f>
        <v/>
      </c>
    </row>
    <row r="260" customFormat="false" ht="15" hidden="false" customHeight="false" outlineLevel="0" collapsed="false">
      <c r="A260" s="21"/>
      <c r="B260" s="22"/>
      <c r="C260" s="23" t="str">
        <f aca="false">IF(OR(A260="",$B$263=0),"",N(B260)/$B$263)</f>
        <v/>
      </c>
      <c r="D260" s="22"/>
      <c r="E260" s="23" t="str">
        <f aca="false">IF(A260="","",IF($B$253&gt;0,MIN(1,N(D260)/$B$253),0))</f>
        <v/>
      </c>
      <c r="F260" s="24" t="str">
        <f aca="false">IF(A260="","",N(B260)*$B$253)</f>
        <v/>
      </c>
      <c r="G260" s="24" t="str">
        <f aca="false">IF(A260="","",N(B260)*($B$253-MIN($B$253,N(D260))))</f>
        <v/>
      </c>
    </row>
    <row r="261" customFormat="false" ht="15" hidden="false" customHeight="false" outlineLevel="0" collapsed="false">
      <c r="A261" s="21"/>
      <c r="B261" s="22"/>
      <c r="C261" s="23" t="str">
        <f aca="false">IF(OR(A261="",$B$263=0),"",N(B261)/$B$263)</f>
        <v/>
      </c>
      <c r="D261" s="22"/>
      <c r="E261" s="23" t="str">
        <f aca="false">IF(A261="","",IF($B$253&gt;0,MIN(1,N(D261)/$B$253),0))</f>
        <v/>
      </c>
      <c r="F261" s="24" t="str">
        <f aca="false">IF(A261="","",N(B261)*$B$253)</f>
        <v/>
      </c>
      <c r="G261" s="24" t="str">
        <f aca="false">IF(A261="","",N(B261)*($B$253-MIN($B$253,N(D261))))</f>
        <v/>
      </c>
    </row>
    <row r="262" customFormat="false" ht="15" hidden="false" customHeight="false" outlineLevel="0" collapsed="false">
      <c r="A262" s="21"/>
      <c r="B262" s="22"/>
      <c r="C262" s="23" t="str">
        <f aca="false">IF(OR(A262="",$B$263=0),"",N(B262)/$B$263)</f>
        <v/>
      </c>
      <c r="D262" s="22"/>
      <c r="E262" s="23" t="str">
        <f aca="false">IF(A262="","",IF($B$253&gt;0,MIN(1,N(D262)/$B$253),0))</f>
        <v/>
      </c>
      <c r="F262" s="24" t="str">
        <f aca="false">IF(A262="","",N(B262)*$B$253)</f>
        <v/>
      </c>
      <c r="G262" s="24" t="str">
        <f aca="false">IF(A262="","",N(B262)*($B$253-MIN($B$253,N(D262))))</f>
        <v/>
      </c>
    </row>
    <row r="263" customFormat="false" ht="15" hidden="false" customHeight="false" outlineLevel="0" collapsed="false">
      <c r="A263" s="18" t="s">
        <v>29</v>
      </c>
      <c r="B263" s="26" t="n">
        <f aca="false">SUM(B255:B262)</f>
        <v>0</v>
      </c>
      <c r="C263" s="27"/>
      <c r="D263" s="27"/>
      <c r="E263" s="28" t="n">
        <f aca="false">IF(B263&gt;0,SUMPRODUCT(B255:B262,E255:E262)/B263,IF(COUNT(E255:E262)=0,0,SUM(E255:E262)/COUNT(E255:E262)))</f>
        <v>0</v>
      </c>
      <c r="F263" s="17" t="n">
        <f aca="false">SUM(F255:F262)</f>
        <v>0</v>
      </c>
      <c r="G263" s="17" t="n">
        <f aca="false">SUM(G255:G262)</f>
        <v>0</v>
      </c>
    </row>
    <row r="264" customFormat="false" ht="15" hidden="false" customHeight="false" outlineLevel="0" collapsed="false">
      <c r="A264" s="18" t="s">
        <v>30</v>
      </c>
      <c r="B264" s="27"/>
      <c r="C264" s="27"/>
      <c r="D264" s="27" t="str">
        <f aca="false">F253&amp;"/"&amp;B253</f>
        <v>0/10</v>
      </c>
      <c r="E264" s="28" t="n">
        <f aca="false">IF(B253&gt;0,MIN(1,F253/B253),0)</f>
        <v>0</v>
      </c>
      <c r="F264" s="27"/>
      <c r="G264" s="27"/>
    </row>
    <row r="267" customFormat="false" ht="21.75" hidden="false" customHeight="true" outlineLevel="0" collapsed="false">
      <c r="A267" s="11" t="s">
        <v>54</v>
      </c>
      <c r="B267" s="11"/>
      <c r="C267" s="11"/>
      <c r="D267" s="11"/>
      <c r="E267" s="12" t="s">
        <v>11</v>
      </c>
      <c r="F267" s="13" t="n">
        <f aca="false">C407</f>
        <v>0</v>
      </c>
      <c r="G267" s="11"/>
      <c r="O267" s="14" t="s">
        <v>12</v>
      </c>
      <c r="P267" s="15" t="n">
        <f aca="false">E278</f>
        <v>0</v>
      </c>
    </row>
    <row r="268" customFormat="false" ht="30" hidden="false" customHeight="true" outlineLevel="0" collapsed="false">
      <c r="A268" s="16" t="s">
        <v>13</v>
      </c>
      <c r="B268" s="17" t="n">
        <f aca="false">$B$4</f>
        <v>10</v>
      </c>
      <c r="C268" s="18"/>
      <c r="D268" s="18"/>
      <c r="E268" s="19" t="s">
        <v>14</v>
      </c>
      <c r="F268" s="17" t="n">
        <f aca="false">IF(COUNT(E270:E277)=0,0,ROUND(MIN(E270:E277)*B268,0))</f>
        <v>0</v>
      </c>
      <c r="G268" s="18"/>
      <c r="O268" s="14" t="s">
        <v>15</v>
      </c>
      <c r="P268" s="15" t="n">
        <f aca="false">1-P267</f>
        <v>1</v>
      </c>
    </row>
    <row r="269" customFormat="false" ht="30" hidden="false" customHeight="true" outlineLevel="0" collapsed="false">
      <c r="A269" s="20" t="s">
        <v>16</v>
      </c>
      <c r="B269" s="20" t="s">
        <v>17</v>
      </c>
      <c r="C269" s="20" t="s">
        <v>18</v>
      </c>
      <c r="D269" s="20" t="s">
        <v>19</v>
      </c>
      <c r="E269" s="20" t="s">
        <v>20</v>
      </c>
      <c r="F269" s="20" t="s">
        <v>21</v>
      </c>
      <c r="G269" s="20" t="s">
        <v>22</v>
      </c>
    </row>
    <row r="270" customFormat="false" ht="15" hidden="false" customHeight="false" outlineLevel="0" collapsed="false">
      <c r="A270" s="21"/>
      <c r="B270" s="22"/>
      <c r="C270" s="23" t="str">
        <f aca="false">IF(OR(A270="",$B$278=0),"",N(B270)/$B$278)</f>
        <v/>
      </c>
      <c r="D270" s="22"/>
      <c r="E270" s="23" t="str">
        <f aca="false">IF(A270="","",IF($B$268&gt;0,MIN(1,N(D270)/$B$268),0))</f>
        <v/>
      </c>
      <c r="F270" s="24" t="str">
        <f aca="false">IF(A270="","",N(B270)*$B$268)</f>
        <v/>
      </c>
      <c r="G270" s="24" t="str">
        <f aca="false">IF(A270="","",N(B270)*($B$268-MIN($B$268,N(D270))))</f>
        <v/>
      </c>
      <c r="O270" s="14" t="s">
        <v>24</v>
      </c>
      <c r="P270" s="25" t="n">
        <f aca="false">COUNTA(A270:A277)</f>
        <v>0</v>
      </c>
    </row>
    <row r="271" customFormat="false" ht="15" hidden="false" customHeight="false" outlineLevel="0" collapsed="false">
      <c r="A271" s="21"/>
      <c r="B271" s="22"/>
      <c r="C271" s="23" t="str">
        <f aca="false">IF(OR(A271="",$B$278=0),"",N(B271)/$B$278)</f>
        <v/>
      </c>
      <c r="D271" s="22"/>
      <c r="E271" s="23" t="str">
        <f aca="false">IF(A271="","",IF($B$268&gt;0,MIN(1,N(D271)/$B$268),0))</f>
        <v/>
      </c>
      <c r="F271" s="24" t="str">
        <f aca="false">IF(A271="","",N(B271)*$B$268)</f>
        <v/>
      </c>
      <c r="G271" s="24" t="str">
        <f aca="false">IF(A271="","",N(B271)*($B$268-MIN($B$268,N(D271))))</f>
        <v/>
      </c>
      <c r="O271" s="14" t="s">
        <v>26</v>
      </c>
      <c r="P271" s="25" t="n">
        <f aca="false">COUNTIF(E270:E277,"&gt;=1")</f>
        <v>0</v>
      </c>
    </row>
    <row r="272" customFormat="false" ht="15" hidden="false" customHeight="false" outlineLevel="0" collapsed="false">
      <c r="A272" s="21"/>
      <c r="B272" s="22"/>
      <c r="C272" s="23" t="str">
        <f aca="false">IF(OR(A272="",$B$278=0),"",N(B272)/$B$278)</f>
        <v/>
      </c>
      <c r="D272" s="22"/>
      <c r="E272" s="23" t="str">
        <f aca="false">IF(A272="","",IF($B$268&gt;0,MIN(1,N(D272)/$B$268),0))</f>
        <v/>
      </c>
      <c r="F272" s="24" t="str">
        <f aca="false">IF(A272="","",N(B272)*$B$268)</f>
        <v/>
      </c>
      <c r="G272" s="24" t="str">
        <f aca="false">IF(A272="","",N(B272)*($B$268-MIN($B$268,N(D272))))</f>
        <v/>
      </c>
    </row>
    <row r="273" customFormat="false" ht="15" hidden="false" customHeight="false" outlineLevel="0" collapsed="false">
      <c r="A273" s="21"/>
      <c r="B273" s="22"/>
      <c r="C273" s="23" t="str">
        <f aca="false">IF(OR(A273="",$B$278=0),"",N(B273)/$B$278)</f>
        <v/>
      </c>
      <c r="D273" s="22"/>
      <c r="E273" s="23" t="str">
        <f aca="false">IF(A273="","",IF($B$268&gt;0,MIN(1,N(D273)/$B$268),0))</f>
        <v/>
      </c>
      <c r="F273" s="24" t="str">
        <f aca="false">IF(A273="","",N(B273)*$B$268)</f>
        <v/>
      </c>
      <c r="G273" s="24" t="str">
        <f aca="false">IF(A273="","",N(B273)*($B$268-MIN($B$268,N(D273))))</f>
        <v/>
      </c>
    </row>
    <row r="274" customFormat="false" ht="15" hidden="false" customHeight="false" outlineLevel="0" collapsed="false">
      <c r="A274" s="21"/>
      <c r="B274" s="22"/>
      <c r="C274" s="23" t="str">
        <f aca="false">IF(OR(A274="",$B$278=0),"",N(B274)/$B$278)</f>
        <v/>
      </c>
      <c r="D274" s="22"/>
      <c r="E274" s="23" t="str">
        <f aca="false">IF(A274="","",IF($B$268&gt;0,MIN(1,N(D274)/$B$268),0))</f>
        <v/>
      </c>
      <c r="F274" s="24" t="str">
        <f aca="false">IF(A274="","",N(B274)*$B$268)</f>
        <v/>
      </c>
      <c r="G274" s="24" t="str">
        <f aca="false">IF(A274="","",N(B274)*($B$268-MIN($B$268,N(D274))))</f>
        <v/>
      </c>
    </row>
    <row r="275" customFormat="false" ht="15" hidden="false" customHeight="false" outlineLevel="0" collapsed="false">
      <c r="A275" s="21"/>
      <c r="B275" s="22"/>
      <c r="C275" s="23" t="str">
        <f aca="false">IF(OR(A275="",$B$278=0),"",N(B275)/$B$278)</f>
        <v/>
      </c>
      <c r="D275" s="22"/>
      <c r="E275" s="23" t="str">
        <f aca="false">IF(A275="","",IF($B$268&gt;0,MIN(1,N(D275)/$B$268),0))</f>
        <v/>
      </c>
      <c r="F275" s="24" t="str">
        <f aca="false">IF(A275="","",N(B275)*$B$268)</f>
        <v/>
      </c>
      <c r="G275" s="24" t="str">
        <f aca="false">IF(A275="","",N(B275)*($B$268-MIN($B$268,N(D275))))</f>
        <v/>
      </c>
    </row>
    <row r="276" customFormat="false" ht="15" hidden="false" customHeight="false" outlineLevel="0" collapsed="false">
      <c r="A276" s="21"/>
      <c r="B276" s="22"/>
      <c r="C276" s="23" t="str">
        <f aca="false">IF(OR(A276="",$B$278=0),"",N(B276)/$B$278)</f>
        <v/>
      </c>
      <c r="D276" s="22"/>
      <c r="E276" s="23" t="str">
        <f aca="false">IF(A276="","",IF($B$268&gt;0,MIN(1,N(D276)/$B$268),0))</f>
        <v/>
      </c>
      <c r="F276" s="24" t="str">
        <f aca="false">IF(A276="","",N(B276)*$B$268)</f>
        <v/>
      </c>
      <c r="G276" s="24" t="str">
        <f aca="false">IF(A276="","",N(B276)*($B$268-MIN($B$268,N(D276))))</f>
        <v/>
      </c>
    </row>
    <row r="277" customFormat="false" ht="15" hidden="false" customHeight="false" outlineLevel="0" collapsed="false">
      <c r="A277" s="21"/>
      <c r="B277" s="22"/>
      <c r="C277" s="23" t="str">
        <f aca="false">IF(OR(A277="",$B$278=0),"",N(B277)/$B$278)</f>
        <v/>
      </c>
      <c r="D277" s="22"/>
      <c r="E277" s="23" t="str">
        <f aca="false">IF(A277="","",IF($B$268&gt;0,MIN(1,N(D277)/$B$268),0))</f>
        <v/>
      </c>
      <c r="F277" s="24" t="str">
        <f aca="false">IF(A277="","",N(B277)*$B$268)</f>
        <v/>
      </c>
      <c r="G277" s="24" t="str">
        <f aca="false">IF(A277="","",N(B277)*($B$268-MIN($B$268,N(D277))))</f>
        <v/>
      </c>
    </row>
    <row r="278" customFormat="false" ht="15" hidden="false" customHeight="false" outlineLevel="0" collapsed="false">
      <c r="A278" s="18" t="s">
        <v>29</v>
      </c>
      <c r="B278" s="26" t="n">
        <f aca="false">SUM(B270:B277)</f>
        <v>0</v>
      </c>
      <c r="C278" s="27"/>
      <c r="D278" s="27"/>
      <c r="E278" s="28" t="n">
        <f aca="false">IF(B278&gt;0,SUMPRODUCT(B270:B277,E270:E277)/B278,IF(COUNT(E270:E277)=0,0,SUM(E270:E277)/COUNT(E270:E277)))</f>
        <v>0</v>
      </c>
      <c r="F278" s="17" t="n">
        <f aca="false">SUM(F270:F277)</f>
        <v>0</v>
      </c>
      <c r="G278" s="17" t="n">
        <f aca="false">SUM(G270:G277)</f>
        <v>0</v>
      </c>
    </row>
    <row r="279" customFormat="false" ht="15" hidden="false" customHeight="false" outlineLevel="0" collapsed="false">
      <c r="A279" s="18" t="s">
        <v>30</v>
      </c>
      <c r="B279" s="27"/>
      <c r="C279" s="27"/>
      <c r="D279" s="27" t="str">
        <f aca="false">F268&amp;"/"&amp;B268</f>
        <v>0/10</v>
      </c>
      <c r="E279" s="28" t="n">
        <f aca="false">IF(B268&gt;0,MIN(1,F268/B268),0)</f>
        <v>0</v>
      </c>
      <c r="F279" s="27"/>
      <c r="G279" s="27"/>
    </row>
    <row r="282" customFormat="false" ht="21.75" hidden="false" customHeight="true" outlineLevel="0" collapsed="false">
      <c r="A282" s="11" t="s">
        <v>55</v>
      </c>
      <c r="B282" s="11"/>
      <c r="C282" s="11"/>
      <c r="D282" s="11"/>
      <c r="E282" s="12" t="s">
        <v>11</v>
      </c>
      <c r="F282" s="13" t="n">
        <f aca="false">C408</f>
        <v>0</v>
      </c>
      <c r="G282" s="11"/>
      <c r="O282" s="14" t="s">
        <v>12</v>
      </c>
      <c r="P282" s="15" t="n">
        <f aca="false">E293</f>
        <v>0</v>
      </c>
    </row>
    <row r="283" customFormat="false" ht="30" hidden="false" customHeight="true" outlineLevel="0" collapsed="false">
      <c r="A283" s="16" t="s">
        <v>13</v>
      </c>
      <c r="B283" s="17" t="n">
        <f aca="false">$B$4</f>
        <v>10</v>
      </c>
      <c r="C283" s="18"/>
      <c r="D283" s="18"/>
      <c r="E283" s="19" t="s">
        <v>14</v>
      </c>
      <c r="F283" s="17" t="n">
        <f aca="false">IF(COUNT(E285:E292)=0,0,ROUND(MIN(E285:E292)*B283,0))</f>
        <v>0</v>
      </c>
      <c r="G283" s="18"/>
      <c r="O283" s="14" t="s">
        <v>15</v>
      </c>
      <c r="P283" s="15" t="n">
        <f aca="false">1-P282</f>
        <v>1</v>
      </c>
    </row>
    <row r="284" customFormat="false" ht="30" hidden="false" customHeight="true" outlineLevel="0" collapsed="false">
      <c r="A284" s="20" t="s">
        <v>16</v>
      </c>
      <c r="B284" s="20" t="s">
        <v>17</v>
      </c>
      <c r="C284" s="20" t="s">
        <v>18</v>
      </c>
      <c r="D284" s="20" t="s">
        <v>19</v>
      </c>
      <c r="E284" s="20" t="s">
        <v>20</v>
      </c>
      <c r="F284" s="20" t="s">
        <v>21</v>
      </c>
      <c r="G284" s="20" t="s">
        <v>22</v>
      </c>
    </row>
    <row r="285" customFormat="false" ht="15" hidden="false" customHeight="false" outlineLevel="0" collapsed="false">
      <c r="A285" s="21"/>
      <c r="B285" s="22"/>
      <c r="C285" s="23" t="str">
        <f aca="false">IF(OR(A285="",$B$293=0),"",N(B285)/$B$293)</f>
        <v/>
      </c>
      <c r="D285" s="22"/>
      <c r="E285" s="23" t="str">
        <f aca="false">IF(A285="","",IF($B$283&gt;0,MIN(1,N(D285)/$B$283),0))</f>
        <v/>
      </c>
      <c r="F285" s="24" t="str">
        <f aca="false">IF(A285="","",N(B285)*$B$283)</f>
        <v/>
      </c>
      <c r="G285" s="24" t="str">
        <f aca="false">IF(A285="","",N(B285)*($B$283-MIN($B$283,N(D285))))</f>
        <v/>
      </c>
      <c r="O285" s="14" t="s">
        <v>24</v>
      </c>
      <c r="P285" s="25" t="n">
        <f aca="false">COUNTA(A285:A292)</f>
        <v>0</v>
      </c>
    </row>
    <row r="286" customFormat="false" ht="15" hidden="false" customHeight="false" outlineLevel="0" collapsed="false">
      <c r="A286" s="21"/>
      <c r="B286" s="22"/>
      <c r="C286" s="23" t="str">
        <f aca="false">IF(OR(A286="",$B$293=0),"",N(B286)/$B$293)</f>
        <v/>
      </c>
      <c r="D286" s="22"/>
      <c r="E286" s="23" t="str">
        <f aca="false">IF(A286="","",IF($B$283&gt;0,MIN(1,N(D286)/$B$283),0))</f>
        <v/>
      </c>
      <c r="F286" s="24" t="str">
        <f aca="false">IF(A286="","",N(B286)*$B$283)</f>
        <v/>
      </c>
      <c r="G286" s="24" t="str">
        <f aca="false">IF(A286="","",N(B286)*($B$283-MIN($B$283,N(D286))))</f>
        <v/>
      </c>
      <c r="O286" s="14" t="s">
        <v>26</v>
      </c>
      <c r="P286" s="25" t="n">
        <f aca="false">COUNTIF(E285:E292,"&gt;=1")</f>
        <v>0</v>
      </c>
    </row>
    <row r="287" customFormat="false" ht="15" hidden="false" customHeight="false" outlineLevel="0" collapsed="false">
      <c r="A287" s="21"/>
      <c r="B287" s="22"/>
      <c r="C287" s="23" t="str">
        <f aca="false">IF(OR(A287="",$B$293=0),"",N(B287)/$B$293)</f>
        <v/>
      </c>
      <c r="D287" s="22"/>
      <c r="E287" s="23" t="str">
        <f aca="false">IF(A287="","",IF($B$283&gt;0,MIN(1,N(D287)/$B$283),0))</f>
        <v/>
      </c>
      <c r="F287" s="24" t="str">
        <f aca="false">IF(A287="","",N(B287)*$B$283)</f>
        <v/>
      </c>
      <c r="G287" s="24" t="str">
        <f aca="false">IF(A287="","",N(B287)*($B$283-MIN($B$283,N(D287))))</f>
        <v/>
      </c>
    </row>
    <row r="288" customFormat="false" ht="15" hidden="false" customHeight="false" outlineLevel="0" collapsed="false">
      <c r="A288" s="21"/>
      <c r="B288" s="22"/>
      <c r="C288" s="23" t="str">
        <f aca="false">IF(OR(A288="",$B$293=0),"",N(B288)/$B$293)</f>
        <v/>
      </c>
      <c r="D288" s="22"/>
      <c r="E288" s="23" t="str">
        <f aca="false">IF(A288="","",IF($B$283&gt;0,MIN(1,N(D288)/$B$283),0))</f>
        <v/>
      </c>
      <c r="F288" s="24" t="str">
        <f aca="false">IF(A288="","",N(B288)*$B$283)</f>
        <v/>
      </c>
      <c r="G288" s="24" t="str">
        <f aca="false">IF(A288="","",N(B288)*($B$283-MIN($B$283,N(D288))))</f>
        <v/>
      </c>
    </row>
    <row r="289" customFormat="false" ht="15" hidden="false" customHeight="false" outlineLevel="0" collapsed="false">
      <c r="A289" s="21"/>
      <c r="B289" s="22"/>
      <c r="C289" s="23" t="str">
        <f aca="false">IF(OR(A289="",$B$293=0),"",N(B289)/$B$293)</f>
        <v/>
      </c>
      <c r="D289" s="22"/>
      <c r="E289" s="23" t="str">
        <f aca="false">IF(A289="","",IF($B$283&gt;0,MIN(1,N(D289)/$B$283),0))</f>
        <v/>
      </c>
      <c r="F289" s="24" t="str">
        <f aca="false">IF(A289="","",N(B289)*$B$283)</f>
        <v/>
      </c>
      <c r="G289" s="24" t="str">
        <f aca="false">IF(A289="","",N(B289)*($B$283-MIN($B$283,N(D289))))</f>
        <v/>
      </c>
    </row>
    <row r="290" customFormat="false" ht="15" hidden="false" customHeight="false" outlineLevel="0" collapsed="false">
      <c r="A290" s="21"/>
      <c r="B290" s="22"/>
      <c r="C290" s="23" t="str">
        <f aca="false">IF(OR(A290="",$B$293=0),"",N(B290)/$B$293)</f>
        <v/>
      </c>
      <c r="D290" s="22"/>
      <c r="E290" s="23" t="str">
        <f aca="false">IF(A290="","",IF($B$283&gt;0,MIN(1,N(D290)/$B$283),0))</f>
        <v/>
      </c>
      <c r="F290" s="24" t="str">
        <f aca="false">IF(A290="","",N(B290)*$B$283)</f>
        <v/>
      </c>
      <c r="G290" s="24" t="str">
        <f aca="false">IF(A290="","",N(B290)*($B$283-MIN($B$283,N(D290))))</f>
        <v/>
      </c>
    </row>
    <row r="291" customFormat="false" ht="15" hidden="false" customHeight="false" outlineLevel="0" collapsed="false">
      <c r="A291" s="21"/>
      <c r="B291" s="22"/>
      <c r="C291" s="23" t="str">
        <f aca="false">IF(OR(A291="",$B$293=0),"",N(B291)/$B$293)</f>
        <v/>
      </c>
      <c r="D291" s="22"/>
      <c r="E291" s="23" t="str">
        <f aca="false">IF(A291="","",IF($B$283&gt;0,MIN(1,N(D291)/$B$283),0))</f>
        <v/>
      </c>
      <c r="F291" s="24" t="str">
        <f aca="false">IF(A291="","",N(B291)*$B$283)</f>
        <v/>
      </c>
      <c r="G291" s="24" t="str">
        <f aca="false">IF(A291="","",N(B291)*($B$283-MIN($B$283,N(D291))))</f>
        <v/>
      </c>
    </row>
    <row r="292" customFormat="false" ht="15" hidden="false" customHeight="false" outlineLevel="0" collapsed="false">
      <c r="A292" s="21"/>
      <c r="B292" s="22"/>
      <c r="C292" s="23" t="str">
        <f aca="false">IF(OR(A292="",$B$293=0),"",N(B292)/$B$293)</f>
        <v/>
      </c>
      <c r="D292" s="22"/>
      <c r="E292" s="23" t="str">
        <f aca="false">IF(A292="","",IF($B$283&gt;0,MIN(1,N(D292)/$B$283),0))</f>
        <v/>
      </c>
      <c r="F292" s="24" t="str">
        <f aca="false">IF(A292="","",N(B292)*$B$283)</f>
        <v/>
      </c>
      <c r="G292" s="24" t="str">
        <f aca="false">IF(A292="","",N(B292)*($B$283-MIN($B$283,N(D292))))</f>
        <v/>
      </c>
    </row>
    <row r="293" customFormat="false" ht="15" hidden="false" customHeight="false" outlineLevel="0" collapsed="false">
      <c r="A293" s="18" t="s">
        <v>29</v>
      </c>
      <c r="B293" s="26" t="n">
        <f aca="false">SUM(B285:B292)</f>
        <v>0</v>
      </c>
      <c r="C293" s="27"/>
      <c r="D293" s="27"/>
      <c r="E293" s="28" t="n">
        <f aca="false">IF(B293&gt;0,SUMPRODUCT(B285:B292,E285:E292)/B293,IF(COUNT(E285:E292)=0,0,SUM(E285:E292)/COUNT(E285:E292)))</f>
        <v>0</v>
      </c>
      <c r="F293" s="17" t="n">
        <f aca="false">SUM(F285:F292)</f>
        <v>0</v>
      </c>
      <c r="G293" s="17" t="n">
        <f aca="false">SUM(G285:G292)</f>
        <v>0</v>
      </c>
    </row>
    <row r="294" customFormat="false" ht="15" hidden="false" customHeight="false" outlineLevel="0" collapsed="false">
      <c r="A294" s="18" t="s">
        <v>30</v>
      </c>
      <c r="B294" s="27"/>
      <c r="C294" s="27"/>
      <c r="D294" s="27" t="str">
        <f aca="false">F283&amp;"/"&amp;B283</f>
        <v>0/10</v>
      </c>
      <c r="E294" s="28" t="n">
        <f aca="false">IF(B283&gt;0,MIN(1,F283/B283),0)</f>
        <v>0</v>
      </c>
      <c r="F294" s="27"/>
      <c r="G294" s="27"/>
    </row>
    <row r="297" customFormat="false" ht="21.75" hidden="false" customHeight="true" outlineLevel="0" collapsed="false">
      <c r="A297" s="11" t="s">
        <v>56</v>
      </c>
      <c r="B297" s="11"/>
      <c r="C297" s="11"/>
      <c r="D297" s="11"/>
      <c r="E297" s="12" t="s">
        <v>11</v>
      </c>
      <c r="F297" s="13" t="n">
        <f aca="false">C409</f>
        <v>0</v>
      </c>
      <c r="G297" s="11"/>
      <c r="O297" s="14" t="s">
        <v>12</v>
      </c>
      <c r="P297" s="15" t="n">
        <f aca="false">E308</f>
        <v>0</v>
      </c>
    </row>
    <row r="298" customFormat="false" ht="30" hidden="false" customHeight="true" outlineLevel="0" collapsed="false">
      <c r="A298" s="16" t="s">
        <v>13</v>
      </c>
      <c r="B298" s="17" t="n">
        <f aca="false">$B$4</f>
        <v>10</v>
      </c>
      <c r="C298" s="18"/>
      <c r="D298" s="18"/>
      <c r="E298" s="19" t="s">
        <v>14</v>
      </c>
      <c r="F298" s="17" t="n">
        <f aca="false">IF(COUNT(E300:E307)=0,0,ROUND(MIN(E300:E307)*B298,0))</f>
        <v>0</v>
      </c>
      <c r="G298" s="18"/>
      <c r="O298" s="14" t="s">
        <v>15</v>
      </c>
      <c r="P298" s="15" t="n">
        <f aca="false">1-P297</f>
        <v>1</v>
      </c>
    </row>
    <row r="299" customFormat="false" ht="30" hidden="false" customHeight="true" outlineLevel="0" collapsed="false">
      <c r="A299" s="20" t="s">
        <v>16</v>
      </c>
      <c r="B299" s="20" t="s">
        <v>17</v>
      </c>
      <c r="C299" s="20" t="s">
        <v>18</v>
      </c>
      <c r="D299" s="20" t="s">
        <v>19</v>
      </c>
      <c r="E299" s="20" t="s">
        <v>20</v>
      </c>
      <c r="F299" s="20" t="s">
        <v>21</v>
      </c>
      <c r="G299" s="20" t="s">
        <v>22</v>
      </c>
    </row>
    <row r="300" customFormat="false" ht="15" hidden="false" customHeight="false" outlineLevel="0" collapsed="false">
      <c r="A300" s="21"/>
      <c r="B300" s="22"/>
      <c r="C300" s="23" t="str">
        <f aca="false">IF(OR(A300="",$B$308=0),"",N(B300)/$B$308)</f>
        <v/>
      </c>
      <c r="D300" s="22"/>
      <c r="E300" s="23" t="str">
        <f aca="false">IF(A300="","",IF($B$298&gt;0,MIN(1,N(D300)/$B$298),0))</f>
        <v/>
      </c>
      <c r="F300" s="24" t="str">
        <f aca="false">IF(A300="","",N(B300)*$B$298)</f>
        <v/>
      </c>
      <c r="G300" s="24" t="str">
        <f aca="false">IF(A300="","",N(B300)*($B$298-MIN($B$298,N(D300))))</f>
        <v/>
      </c>
      <c r="O300" s="14" t="s">
        <v>24</v>
      </c>
      <c r="P300" s="25" t="n">
        <f aca="false">COUNTA(A300:A307)</f>
        <v>0</v>
      </c>
    </row>
    <row r="301" customFormat="false" ht="15" hidden="false" customHeight="false" outlineLevel="0" collapsed="false">
      <c r="A301" s="21"/>
      <c r="B301" s="22"/>
      <c r="C301" s="23" t="str">
        <f aca="false">IF(OR(A301="",$B$308=0),"",N(B301)/$B$308)</f>
        <v/>
      </c>
      <c r="D301" s="22"/>
      <c r="E301" s="23" t="str">
        <f aca="false">IF(A301="","",IF($B$298&gt;0,MIN(1,N(D301)/$B$298),0))</f>
        <v/>
      </c>
      <c r="F301" s="24" t="str">
        <f aca="false">IF(A301="","",N(B301)*$B$298)</f>
        <v/>
      </c>
      <c r="G301" s="24" t="str">
        <f aca="false">IF(A301="","",N(B301)*($B$298-MIN($B$298,N(D301))))</f>
        <v/>
      </c>
      <c r="O301" s="14" t="s">
        <v>26</v>
      </c>
      <c r="P301" s="25" t="n">
        <f aca="false">COUNTIF(E300:E307,"&gt;=1")</f>
        <v>0</v>
      </c>
    </row>
    <row r="302" customFormat="false" ht="15" hidden="false" customHeight="false" outlineLevel="0" collapsed="false">
      <c r="A302" s="21"/>
      <c r="B302" s="22"/>
      <c r="C302" s="23" t="str">
        <f aca="false">IF(OR(A302="",$B$308=0),"",N(B302)/$B$308)</f>
        <v/>
      </c>
      <c r="D302" s="22"/>
      <c r="E302" s="23" t="str">
        <f aca="false">IF(A302="","",IF($B$298&gt;0,MIN(1,N(D302)/$B$298),0))</f>
        <v/>
      </c>
      <c r="F302" s="24" t="str">
        <f aca="false">IF(A302="","",N(B302)*$B$298)</f>
        <v/>
      </c>
      <c r="G302" s="24" t="str">
        <f aca="false">IF(A302="","",N(B302)*($B$298-MIN($B$298,N(D302))))</f>
        <v/>
      </c>
    </row>
    <row r="303" customFormat="false" ht="15" hidden="false" customHeight="false" outlineLevel="0" collapsed="false">
      <c r="A303" s="21"/>
      <c r="B303" s="22"/>
      <c r="C303" s="23" t="str">
        <f aca="false">IF(OR(A303="",$B$308=0),"",N(B303)/$B$308)</f>
        <v/>
      </c>
      <c r="D303" s="22"/>
      <c r="E303" s="23" t="str">
        <f aca="false">IF(A303="","",IF($B$298&gt;0,MIN(1,N(D303)/$B$298),0))</f>
        <v/>
      </c>
      <c r="F303" s="24" t="str">
        <f aca="false">IF(A303="","",N(B303)*$B$298)</f>
        <v/>
      </c>
      <c r="G303" s="24" t="str">
        <f aca="false">IF(A303="","",N(B303)*($B$298-MIN($B$298,N(D303))))</f>
        <v/>
      </c>
    </row>
    <row r="304" customFormat="false" ht="15" hidden="false" customHeight="false" outlineLevel="0" collapsed="false">
      <c r="A304" s="21"/>
      <c r="B304" s="22"/>
      <c r="C304" s="23" t="str">
        <f aca="false">IF(OR(A304="",$B$308=0),"",N(B304)/$B$308)</f>
        <v/>
      </c>
      <c r="D304" s="22"/>
      <c r="E304" s="23" t="str">
        <f aca="false">IF(A304="","",IF($B$298&gt;0,MIN(1,N(D304)/$B$298),0))</f>
        <v/>
      </c>
      <c r="F304" s="24" t="str">
        <f aca="false">IF(A304="","",N(B304)*$B$298)</f>
        <v/>
      </c>
      <c r="G304" s="24" t="str">
        <f aca="false">IF(A304="","",N(B304)*($B$298-MIN($B$298,N(D304))))</f>
        <v/>
      </c>
    </row>
    <row r="305" customFormat="false" ht="15" hidden="false" customHeight="false" outlineLevel="0" collapsed="false">
      <c r="A305" s="21"/>
      <c r="B305" s="22"/>
      <c r="C305" s="23" t="str">
        <f aca="false">IF(OR(A305="",$B$308=0),"",N(B305)/$B$308)</f>
        <v/>
      </c>
      <c r="D305" s="22"/>
      <c r="E305" s="23" t="str">
        <f aca="false">IF(A305="","",IF($B$298&gt;0,MIN(1,N(D305)/$B$298),0))</f>
        <v/>
      </c>
      <c r="F305" s="24" t="str">
        <f aca="false">IF(A305="","",N(B305)*$B$298)</f>
        <v/>
      </c>
      <c r="G305" s="24" t="str">
        <f aca="false">IF(A305="","",N(B305)*($B$298-MIN($B$298,N(D305))))</f>
        <v/>
      </c>
    </row>
    <row r="306" customFormat="false" ht="15" hidden="false" customHeight="false" outlineLevel="0" collapsed="false">
      <c r="A306" s="21"/>
      <c r="B306" s="22"/>
      <c r="C306" s="23" t="str">
        <f aca="false">IF(OR(A306="",$B$308=0),"",N(B306)/$B$308)</f>
        <v/>
      </c>
      <c r="D306" s="22"/>
      <c r="E306" s="23" t="str">
        <f aca="false">IF(A306="","",IF($B$298&gt;0,MIN(1,N(D306)/$B$298),0))</f>
        <v/>
      </c>
      <c r="F306" s="24" t="str">
        <f aca="false">IF(A306="","",N(B306)*$B$298)</f>
        <v/>
      </c>
      <c r="G306" s="24" t="str">
        <f aca="false">IF(A306="","",N(B306)*($B$298-MIN($B$298,N(D306))))</f>
        <v/>
      </c>
    </row>
    <row r="307" customFormat="false" ht="15" hidden="false" customHeight="false" outlineLevel="0" collapsed="false">
      <c r="A307" s="21"/>
      <c r="B307" s="22"/>
      <c r="C307" s="23" t="str">
        <f aca="false">IF(OR(A307="",$B$308=0),"",N(B307)/$B$308)</f>
        <v/>
      </c>
      <c r="D307" s="22"/>
      <c r="E307" s="23" t="str">
        <f aca="false">IF(A307="","",IF($B$298&gt;0,MIN(1,N(D307)/$B$298),0))</f>
        <v/>
      </c>
      <c r="F307" s="24" t="str">
        <f aca="false">IF(A307="","",N(B307)*$B$298)</f>
        <v/>
      </c>
      <c r="G307" s="24" t="str">
        <f aca="false">IF(A307="","",N(B307)*($B$298-MIN($B$298,N(D307))))</f>
        <v/>
      </c>
    </row>
    <row r="308" customFormat="false" ht="15" hidden="false" customHeight="false" outlineLevel="0" collapsed="false">
      <c r="A308" s="18" t="s">
        <v>29</v>
      </c>
      <c r="B308" s="26" t="n">
        <f aca="false">SUM(B300:B307)</f>
        <v>0</v>
      </c>
      <c r="C308" s="27"/>
      <c r="D308" s="27"/>
      <c r="E308" s="28" t="n">
        <f aca="false">IF(B308&gt;0,SUMPRODUCT(B300:B307,E300:E307)/B308,IF(COUNT(E300:E307)=0,0,SUM(E300:E307)/COUNT(E300:E307)))</f>
        <v>0</v>
      </c>
      <c r="F308" s="17" t="n">
        <f aca="false">SUM(F300:F307)</f>
        <v>0</v>
      </c>
      <c r="G308" s="17" t="n">
        <f aca="false">SUM(G300:G307)</f>
        <v>0</v>
      </c>
    </row>
    <row r="309" customFormat="false" ht="15" hidden="false" customHeight="false" outlineLevel="0" collapsed="false">
      <c r="A309" s="18" t="s">
        <v>30</v>
      </c>
      <c r="B309" s="27"/>
      <c r="C309" s="27"/>
      <c r="D309" s="27" t="str">
        <f aca="false">F298&amp;"/"&amp;B298</f>
        <v>0/10</v>
      </c>
      <c r="E309" s="28" t="n">
        <f aca="false">IF(B298&gt;0,MIN(1,F298/B298),0)</f>
        <v>0</v>
      </c>
      <c r="F309" s="27"/>
      <c r="G309" s="27"/>
    </row>
    <row r="312" customFormat="false" ht="21.75" hidden="false" customHeight="true" outlineLevel="0" collapsed="false">
      <c r="A312" s="11" t="s">
        <v>57</v>
      </c>
      <c r="B312" s="11"/>
      <c r="C312" s="11"/>
      <c r="D312" s="11"/>
      <c r="E312" s="12" t="s">
        <v>11</v>
      </c>
      <c r="F312" s="13" t="n">
        <f aca="false">C410</f>
        <v>0</v>
      </c>
      <c r="G312" s="11"/>
      <c r="O312" s="14" t="s">
        <v>12</v>
      </c>
      <c r="P312" s="15" t="n">
        <f aca="false">E323</f>
        <v>0</v>
      </c>
    </row>
    <row r="313" customFormat="false" ht="30" hidden="false" customHeight="true" outlineLevel="0" collapsed="false">
      <c r="A313" s="16" t="s">
        <v>13</v>
      </c>
      <c r="B313" s="17" t="n">
        <f aca="false">$B$4</f>
        <v>10</v>
      </c>
      <c r="C313" s="18"/>
      <c r="D313" s="18"/>
      <c r="E313" s="19" t="s">
        <v>14</v>
      </c>
      <c r="F313" s="17" t="n">
        <f aca="false">IF(COUNT(E315:E322)=0,0,ROUND(MIN(E315:E322)*B313,0))</f>
        <v>0</v>
      </c>
      <c r="G313" s="18"/>
      <c r="O313" s="14" t="s">
        <v>15</v>
      </c>
      <c r="P313" s="15" t="n">
        <f aca="false">1-P312</f>
        <v>1</v>
      </c>
    </row>
    <row r="314" customFormat="false" ht="30" hidden="false" customHeight="true" outlineLevel="0" collapsed="false">
      <c r="A314" s="20" t="s">
        <v>16</v>
      </c>
      <c r="B314" s="20" t="s">
        <v>17</v>
      </c>
      <c r="C314" s="20" t="s">
        <v>18</v>
      </c>
      <c r="D314" s="20" t="s">
        <v>19</v>
      </c>
      <c r="E314" s="20" t="s">
        <v>20</v>
      </c>
      <c r="F314" s="20" t="s">
        <v>21</v>
      </c>
      <c r="G314" s="20" t="s">
        <v>22</v>
      </c>
    </row>
    <row r="315" customFormat="false" ht="15" hidden="false" customHeight="false" outlineLevel="0" collapsed="false">
      <c r="A315" s="21"/>
      <c r="B315" s="22"/>
      <c r="C315" s="23" t="str">
        <f aca="false">IF(OR(A315="",$B$323=0),"",N(B315)/$B$323)</f>
        <v/>
      </c>
      <c r="D315" s="22"/>
      <c r="E315" s="23" t="str">
        <f aca="false">IF(A315="","",IF($B$313&gt;0,MIN(1,N(D315)/$B$313),0))</f>
        <v/>
      </c>
      <c r="F315" s="24" t="str">
        <f aca="false">IF(A315="","",N(B315)*$B$313)</f>
        <v/>
      </c>
      <c r="G315" s="24" t="str">
        <f aca="false">IF(A315="","",N(B315)*($B$313-MIN($B$313,N(D315))))</f>
        <v/>
      </c>
      <c r="O315" s="14" t="s">
        <v>24</v>
      </c>
      <c r="P315" s="25" t="n">
        <f aca="false">COUNTA(A315:A322)</f>
        <v>0</v>
      </c>
    </row>
    <row r="316" customFormat="false" ht="15" hidden="false" customHeight="false" outlineLevel="0" collapsed="false">
      <c r="A316" s="21"/>
      <c r="B316" s="22"/>
      <c r="C316" s="23" t="str">
        <f aca="false">IF(OR(A316="",$B$323=0),"",N(B316)/$B$323)</f>
        <v/>
      </c>
      <c r="D316" s="22"/>
      <c r="E316" s="23" t="str">
        <f aca="false">IF(A316="","",IF($B$313&gt;0,MIN(1,N(D316)/$B$313),0))</f>
        <v/>
      </c>
      <c r="F316" s="24" t="str">
        <f aca="false">IF(A316="","",N(B316)*$B$313)</f>
        <v/>
      </c>
      <c r="G316" s="24" t="str">
        <f aca="false">IF(A316="","",N(B316)*($B$313-MIN($B$313,N(D316))))</f>
        <v/>
      </c>
      <c r="O316" s="14" t="s">
        <v>26</v>
      </c>
      <c r="P316" s="25" t="n">
        <f aca="false">COUNTIF(E315:E322,"&gt;=1")</f>
        <v>0</v>
      </c>
    </row>
    <row r="317" customFormat="false" ht="15" hidden="false" customHeight="false" outlineLevel="0" collapsed="false">
      <c r="A317" s="21"/>
      <c r="B317" s="22"/>
      <c r="C317" s="23" t="str">
        <f aca="false">IF(OR(A317="",$B$323=0),"",N(B317)/$B$323)</f>
        <v/>
      </c>
      <c r="D317" s="22"/>
      <c r="E317" s="23" t="str">
        <f aca="false">IF(A317="","",IF($B$313&gt;0,MIN(1,N(D317)/$B$313),0))</f>
        <v/>
      </c>
      <c r="F317" s="24" t="str">
        <f aca="false">IF(A317="","",N(B317)*$B$313)</f>
        <v/>
      </c>
      <c r="G317" s="24" t="str">
        <f aca="false">IF(A317="","",N(B317)*($B$313-MIN($B$313,N(D317))))</f>
        <v/>
      </c>
    </row>
    <row r="318" customFormat="false" ht="15" hidden="false" customHeight="false" outlineLevel="0" collapsed="false">
      <c r="A318" s="21"/>
      <c r="B318" s="22"/>
      <c r="C318" s="23" t="str">
        <f aca="false">IF(OR(A318="",$B$323=0),"",N(B318)/$B$323)</f>
        <v/>
      </c>
      <c r="D318" s="22"/>
      <c r="E318" s="23" t="str">
        <f aca="false">IF(A318="","",IF($B$313&gt;0,MIN(1,N(D318)/$B$313),0))</f>
        <v/>
      </c>
      <c r="F318" s="24" t="str">
        <f aca="false">IF(A318="","",N(B318)*$B$313)</f>
        <v/>
      </c>
      <c r="G318" s="24" t="str">
        <f aca="false">IF(A318="","",N(B318)*($B$313-MIN($B$313,N(D318))))</f>
        <v/>
      </c>
    </row>
    <row r="319" customFormat="false" ht="15" hidden="false" customHeight="false" outlineLevel="0" collapsed="false">
      <c r="A319" s="21"/>
      <c r="B319" s="22"/>
      <c r="C319" s="23" t="str">
        <f aca="false">IF(OR(A319="",$B$323=0),"",N(B319)/$B$323)</f>
        <v/>
      </c>
      <c r="D319" s="22"/>
      <c r="E319" s="23" t="str">
        <f aca="false">IF(A319="","",IF($B$313&gt;0,MIN(1,N(D319)/$B$313),0))</f>
        <v/>
      </c>
      <c r="F319" s="24" t="str">
        <f aca="false">IF(A319="","",N(B319)*$B$313)</f>
        <v/>
      </c>
      <c r="G319" s="24" t="str">
        <f aca="false">IF(A319="","",N(B319)*($B$313-MIN($B$313,N(D319))))</f>
        <v/>
      </c>
    </row>
    <row r="320" customFormat="false" ht="15" hidden="false" customHeight="false" outlineLevel="0" collapsed="false">
      <c r="A320" s="21"/>
      <c r="B320" s="22"/>
      <c r="C320" s="23" t="str">
        <f aca="false">IF(OR(A320="",$B$323=0),"",N(B320)/$B$323)</f>
        <v/>
      </c>
      <c r="D320" s="22"/>
      <c r="E320" s="23" t="str">
        <f aca="false">IF(A320="","",IF($B$313&gt;0,MIN(1,N(D320)/$B$313),0))</f>
        <v/>
      </c>
      <c r="F320" s="24" t="str">
        <f aca="false">IF(A320="","",N(B320)*$B$313)</f>
        <v/>
      </c>
      <c r="G320" s="24" t="str">
        <f aca="false">IF(A320="","",N(B320)*($B$313-MIN($B$313,N(D320))))</f>
        <v/>
      </c>
    </row>
    <row r="321" customFormat="false" ht="15" hidden="false" customHeight="false" outlineLevel="0" collapsed="false">
      <c r="A321" s="21"/>
      <c r="B321" s="22"/>
      <c r="C321" s="23" t="str">
        <f aca="false">IF(OR(A321="",$B$323=0),"",N(B321)/$B$323)</f>
        <v/>
      </c>
      <c r="D321" s="22"/>
      <c r="E321" s="23" t="str">
        <f aca="false">IF(A321="","",IF($B$313&gt;0,MIN(1,N(D321)/$B$313),0))</f>
        <v/>
      </c>
      <c r="F321" s="24" t="str">
        <f aca="false">IF(A321="","",N(B321)*$B$313)</f>
        <v/>
      </c>
      <c r="G321" s="24" t="str">
        <f aca="false">IF(A321="","",N(B321)*($B$313-MIN($B$313,N(D321))))</f>
        <v/>
      </c>
    </row>
    <row r="322" customFormat="false" ht="15" hidden="false" customHeight="false" outlineLevel="0" collapsed="false">
      <c r="A322" s="21"/>
      <c r="B322" s="22"/>
      <c r="C322" s="23" t="str">
        <f aca="false">IF(OR(A322="",$B$323=0),"",N(B322)/$B$323)</f>
        <v/>
      </c>
      <c r="D322" s="22"/>
      <c r="E322" s="23" t="str">
        <f aca="false">IF(A322="","",IF($B$313&gt;0,MIN(1,N(D322)/$B$313),0))</f>
        <v/>
      </c>
      <c r="F322" s="24" t="str">
        <f aca="false">IF(A322="","",N(B322)*$B$313)</f>
        <v/>
      </c>
      <c r="G322" s="24" t="str">
        <f aca="false">IF(A322="","",N(B322)*($B$313-MIN($B$313,N(D322))))</f>
        <v/>
      </c>
    </row>
    <row r="323" customFormat="false" ht="15" hidden="false" customHeight="false" outlineLevel="0" collapsed="false">
      <c r="A323" s="18" t="s">
        <v>29</v>
      </c>
      <c r="B323" s="26" t="n">
        <f aca="false">SUM(B315:B322)</f>
        <v>0</v>
      </c>
      <c r="C323" s="27"/>
      <c r="D323" s="27"/>
      <c r="E323" s="28" t="n">
        <f aca="false">IF(B323&gt;0,SUMPRODUCT(B315:B322,E315:E322)/B323,IF(COUNT(E315:E322)=0,0,SUM(E315:E322)/COUNT(E315:E322)))</f>
        <v>0</v>
      </c>
      <c r="F323" s="17" t="n">
        <f aca="false">SUM(F315:F322)</f>
        <v>0</v>
      </c>
      <c r="G323" s="17" t="n">
        <f aca="false">SUM(G315:G322)</f>
        <v>0</v>
      </c>
    </row>
    <row r="324" customFormat="false" ht="15" hidden="false" customHeight="false" outlineLevel="0" collapsed="false">
      <c r="A324" s="18" t="s">
        <v>30</v>
      </c>
      <c r="B324" s="27"/>
      <c r="C324" s="27"/>
      <c r="D324" s="27" t="str">
        <f aca="false">F313&amp;"/"&amp;B313</f>
        <v>0/10</v>
      </c>
      <c r="E324" s="28" t="n">
        <f aca="false">IF(B313&gt;0,MIN(1,F313/B313),0)</f>
        <v>0</v>
      </c>
      <c r="F324" s="27"/>
      <c r="G324" s="27"/>
    </row>
    <row r="327" customFormat="false" ht="21.75" hidden="false" customHeight="true" outlineLevel="0" collapsed="false">
      <c r="A327" s="11" t="s">
        <v>58</v>
      </c>
      <c r="B327" s="11"/>
      <c r="C327" s="11"/>
      <c r="D327" s="11"/>
      <c r="E327" s="12" t="s">
        <v>11</v>
      </c>
      <c r="F327" s="13" t="n">
        <f aca="false">C411</f>
        <v>0</v>
      </c>
      <c r="G327" s="11"/>
      <c r="O327" s="14" t="s">
        <v>12</v>
      </c>
      <c r="P327" s="15" t="n">
        <f aca="false">E338</f>
        <v>0</v>
      </c>
    </row>
    <row r="328" customFormat="false" ht="30" hidden="false" customHeight="true" outlineLevel="0" collapsed="false">
      <c r="A328" s="16" t="s">
        <v>13</v>
      </c>
      <c r="B328" s="17" t="n">
        <f aca="false">$B$4</f>
        <v>10</v>
      </c>
      <c r="C328" s="18"/>
      <c r="D328" s="18"/>
      <c r="E328" s="19" t="s">
        <v>14</v>
      </c>
      <c r="F328" s="17" t="n">
        <f aca="false">IF(COUNT(E330:E337)=0,0,ROUND(MIN(E330:E337)*B328,0))</f>
        <v>0</v>
      </c>
      <c r="G328" s="18"/>
      <c r="O328" s="14" t="s">
        <v>15</v>
      </c>
      <c r="P328" s="15" t="n">
        <f aca="false">1-P327</f>
        <v>1</v>
      </c>
    </row>
    <row r="329" customFormat="false" ht="30" hidden="false" customHeight="true" outlineLevel="0" collapsed="false">
      <c r="A329" s="20" t="s">
        <v>16</v>
      </c>
      <c r="B329" s="20" t="s">
        <v>17</v>
      </c>
      <c r="C329" s="20" t="s">
        <v>18</v>
      </c>
      <c r="D329" s="20" t="s">
        <v>19</v>
      </c>
      <c r="E329" s="20" t="s">
        <v>20</v>
      </c>
      <c r="F329" s="20" t="s">
        <v>21</v>
      </c>
      <c r="G329" s="20" t="s">
        <v>22</v>
      </c>
    </row>
    <row r="330" customFormat="false" ht="15" hidden="false" customHeight="false" outlineLevel="0" collapsed="false">
      <c r="A330" s="21"/>
      <c r="B330" s="22"/>
      <c r="C330" s="23" t="str">
        <f aca="false">IF(OR(A330="",$B$338=0),"",N(B330)/$B$338)</f>
        <v/>
      </c>
      <c r="D330" s="22"/>
      <c r="E330" s="23" t="str">
        <f aca="false">IF(A330="","",IF($B$328&gt;0,MIN(1,N(D330)/$B$328),0))</f>
        <v/>
      </c>
      <c r="F330" s="24" t="str">
        <f aca="false">IF(A330="","",N(B330)*$B$328)</f>
        <v/>
      </c>
      <c r="G330" s="24" t="str">
        <f aca="false">IF(A330="","",N(B330)*($B$328-MIN($B$328,N(D330))))</f>
        <v/>
      </c>
      <c r="O330" s="14" t="s">
        <v>24</v>
      </c>
      <c r="P330" s="25" t="n">
        <f aca="false">COUNTA(A330:A337)</f>
        <v>0</v>
      </c>
    </row>
    <row r="331" customFormat="false" ht="15" hidden="false" customHeight="false" outlineLevel="0" collapsed="false">
      <c r="A331" s="21"/>
      <c r="B331" s="22"/>
      <c r="C331" s="23" t="str">
        <f aca="false">IF(OR(A331="",$B$338=0),"",N(B331)/$B$338)</f>
        <v/>
      </c>
      <c r="D331" s="22"/>
      <c r="E331" s="23" t="str">
        <f aca="false">IF(A331="","",IF($B$328&gt;0,MIN(1,N(D331)/$B$328),0))</f>
        <v/>
      </c>
      <c r="F331" s="24" t="str">
        <f aca="false">IF(A331="","",N(B331)*$B$328)</f>
        <v/>
      </c>
      <c r="G331" s="24" t="str">
        <f aca="false">IF(A331="","",N(B331)*($B$328-MIN($B$328,N(D331))))</f>
        <v/>
      </c>
      <c r="O331" s="14" t="s">
        <v>26</v>
      </c>
      <c r="P331" s="25" t="n">
        <f aca="false">COUNTIF(E330:E337,"&gt;=1")</f>
        <v>0</v>
      </c>
    </row>
    <row r="332" customFormat="false" ht="15" hidden="false" customHeight="false" outlineLevel="0" collapsed="false">
      <c r="A332" s="21"/>
      <c r="B332" s="22"/>
      <c r="C332" s="23" t="str">
        <f aca="false">IF(OR(A332="",$B$338=0),"",N(B332)/$B$338)</f>
        <v/>
      </c>
      <c r="D332" s="22"/>
      <c r="E332" s="23" t="str">
        <f aca="false">IF(A332="","",IF($B$328&gt;0,MIN(1,N(D332)/$B$328),0))</f>
        <v/>
      </c>
      <c r="F332" s="24" t="str">
        <f aca="false">IF(A332="","",N(B332)*$B$328)</f>
        <v/>
      </c>
      <c r="G332" s="24" t="str">
        <f aca="false">IF(A332="","",N(B332)*($B$328-MIN($B$328,N(D332))))</f>
        <v/>
      </c>
    </row>
    <row r="333" customFormat="false" ht="15" hidden="false" customHeight="false" outlineLevel="0" collapsed="false">
      <c r="A333" s="21"/>
      <c r="B333" s="22"/>
      <c r="C333" s="23" t="str">
        <f aca="false">IF(OR(A333="",$B$338=0),"",N(B333)/$B$338)</f>
        <v/>
      </c>
      <c r="D333" s="22"/>
      <c r="E333" s="23" t="str">
        <f aca="false">IF(A333="","",IF($B$328&gt;0,MIN(1,N(D333)/$B$328),0))</f>
        <v/>
      </c>
      <c r="F333" s="24" t="str">
        <f aca="false">IF(A333="","",N(B333)*$B$328)</f>
        <v/>
      </c>
      <c r="G333" s="24" t="str">
        <f aca="false">IF(A333="","",N(B333)*($B$328-MIN($B$328,N(D333))))</f>
        <v/>
      </c>
    </row>
    <row r="334" customFormat="false" ht="15" hidden="false" customHeight="false" outlineLevel="0" collapsed="false">
      <c r="A334" s="21"/>
      <c r="B334" s="22"/>
      <c r="C334" s="23" t="str">
        <f aca="false">IF(OR(A334="",$B$338=0),"",N(B334)/$B$338)</f>
        <v/>
      </c>
      <c r="D334" s="22"/>
      <c r="E334" s="23" t="str">
        <f aca="false">IF(A334="","",IF($B$328&gt;0,MIN(1,N(D334)/$B$328),0))</f>
        <v/>
      </c>
      <c r="F334" s="24" t="str">
        <f aca="false">IF(A334="","",N(B334)*$B$328)</f>
        <v/>
      </c>
      <c r="G334" s="24" t="str">
        <f aca="false">IF(A334="","",N(B334)*($B$328-MIN($B$328,N(D334))))</f>
        <v/>
      </c>
    </row>
    <row r="335" customFormat="false" ht="15" hidden="false" customHeight="false" outlineLevel="0" collapsed="false">
      <c r="A335" s="21"/>
      <c r="B335" s="22"/>
      <c r="C335" s="23" t="str">
        <f aca="false">IF(OR(A335="",$B$338=0),"",N(B335)/$B$338)</f>
        <v/>
      </c>
      <c r="D335" s="22"/>
      <c r="E335" s="23" t="str">
        <f aca="false">IF(A335="","",IF($B$328&gt;0,MIN(1,N(D335)/$B$328),0))</f>
        <v/>
      </c>
      <c r="F335" s="24" t="str">
        <f aca="false">IF(A335="","",N(B335)*$B$328)</f>
        <v/>
      </c>
      <c r="G335" s="24" t="str">
        <f aca="false">IF(A335="","",N(B335)*($B$328-MIN($B$328,N(D335))))</f>
        <v/>
      </c>
    </row>
    <row r="336" customFormat="false" ht="15" hidden="false" customHeight="false" outlineLevel="0" collapsed="false">
      <c r="A336" s="21"/>
      <c r="B336" s="22"/>
      <c r="C336" s="23" t="str">
        <f aca="false">IF(OR(A336="",$B$338=0),"",N(B336)/$B$338)</f>
        <v/>
      </c>
      <c r="D336" s="22"/>
      <c r="E336" s="23" t="str">
        <f aca="false">IF(A336="","",IF($B$328&gt;0,MIN(1,N(D336)/$B$328),0))</f>
        <v/>
      </c>
      <c r="F336" s="24" t="str">
        <f aca="false">IF(A336="","",N(B336)*$B$328)</f>
        <v/>
      </c>
      <c r="G336" s="24" t="str">
        <f aca="false">IF(A336="","",N(B336)*($B$328-MIN($B$328,N(D336))))</f>
        <v/>
      </c>
    </row>
    <row r="337" customFormat="false" ht="15" hidden="false" customHeight="false" outlineLevel="0" collapsed="false">
      <c r="A337" s="21"/>
      <c r="B337" s="22"/>
      <c r="C337" s="23" t="str">
        <f aca="false">IF(OR(A337="",$B$338=0),"",N(B337)/$B$338)</f>
        <v/>
      </c>
      <c r="D337" s="22"/>
      <c r="E337" s="23" t="str">
        <f aca="false">IF(A337="","",IF($B$328&gt;0,MIN(1,N(D337)/$B$328),0))</f>
        <v/>
      </c>
      <c r="F337" s="24" t="str">
        <f aca="false">IF(A337="","",N(B337)*$B$328)</f>
        <v/>
      </c>
      <c r="G337" s="24" t="str">
        <f aca="false">IF(A337="","",N(B337)*($B$328-MIN($B$328,N(D337))))</f>
        <v/>
      </c>
    </row>
    <row r="338" customFormat="false" ht="15" hidden="false" customHeight="false" outlineLevel="0" collapsed="false">
      <c r="A338" s="18" t="s">
        <v>29</v>
      </c>
      <c r="B338" s="26" t="n">
        <f aca="false">SUM(B330:B337)</f>
        <v>0</v>
      </c>
      <c r="C338" s="27"/>
      <c r="D338" s="27"/>
      <c r="E338" s="28" t="n">
        <f aca="false">IF(B338&gt;0,SUMPRODUCT(B330:B337,E330:E337)/B338,IF(COUNT(E330:E337)=0,0,SUM(E330:E337)/COUNT(E330:E337)))</f>
        <v>0</v>
      </c>
      <c r="F338" s="17" t="n">
        <f aca="false">SUM(F330:F337)</f>
        <v>0</v>
      </c>
      <c r="G338" s="17" t="n">
        <f aca="false">SUM(G330:G337)</f>
        <v>0</v>
      </c>
    </row>
    <row r="339" customFormat="false" ht="15" hidden="false" customHeight="false" outlineLevel="0" collapsed="false">
      <c r="A339" s="18" t="s">
        <v>30</v>
      </c>
      <c r="B339" s="27"/>
      <c r="C339" s="27"/>
      <c r="D339" s="27" t="str">
        <f aca="false">F328&amp;"/"&amp;B328</f>
        <v>0/10</v>
      </c>
      <c r="E339" s="28" t="n">
        <f aca="false">IF(B328&gt;0,MIN(1,F328/B328),0)</f>
        <v>0</v>
      </c>
      <c r="F339" s="27"/>
      <c r="G339" s="27"/>
    </row>
    <row r="342" customFormat="false" ht="21.75" hidden="false" customHeight="true" outlineLevel="0" collapsed="false">
      <c r="A342" s="11" t="s">
        <v>59</v>
      </c>
      <c r="B342" s="11"/>
      <c r="C342" s="11"/>
      <c r="D342" s="11"/>
      <c r="E342" s="12" t="s">
        <v>11</v>
      </c>
      <c r="F342" s="13" t="n">
        <f aca="false">C412</f>
        <v>0</v>
      </c>
      <c r="G342" s="11"/>
      <c r="O342" s="14" t="s">
        <v>12</v>
      </c>
      <c r="P342" s="15" t="n">
        <f aca="false">E353</f>
        <v>0</v>
      </c>
    </row>
    <row r="343" customFormat="false" ht="30" hidden="false" customHeight="true" outlineLevel="0" collapsed="false">
      <c r="A343" s="16" t="s">
        <v>13</v>
      </c>
      <c r="B343" s="17" t="n">
        <f aca="false">$B$4</f>
        <v>10</v>
      </c>
      <c r="C343" s="18"/>
      <c r="D343" s="18"/>
      <c r="E343" s="19" t="s">
        <v>14</v>
      </c>
      <c r="F343" s="17" t="n">
        <f aca="false">IF(COUNT(E345:E352)=0,0,ROUND(MIN(E345:E352)*B343,0))</f>
        <v>0</v>
      </c>
      <c r="G343" s="18"/>
      <c r="O343" s="14" t="s">
        <v>15</v>
      </c>
      <c r="P343" s="15" t="n">
        <f aca="false">1-P342</f>
        <v>1</v>
      </c>
    </row>
    <row r="344" customFormat="false" ht="30" hidden="false" customHeight="true" outlineLevel="0" collapsed="false">
      <c r="A344" s="20" t="s">
        <v>16</v>
      </c>
      <c r="B344" s="20" t="s">
        <v>17</v>
      </c>
      <c r="C344" s="20" t="s">
        <v>18</v>
      </c>
      <c r="D344" s="20" t="s">
        <v>19</v>
      </c>
      <c r="E344" s="20" t="s">
        <v>20</v>
      </c>
      <c r="F344" s="20" t="s">
        <v>21</v>
      </c>
      <c r="G344" s="20" t="s">
        <v>22</v>
      </c>
    </row>
    <row r="345" customFormat="false" ht="15" hidden="false" customHeight="false" outlineLevel="0" collapsed="false">
      <c r="A345" s="21"/>
      <c r="B345" s="22"/>
      <c r="C345" s="23" t="str">
        <f aca="false">IF(OR(A345="",$B$353=0),"",N(B345)/$B$353)</f>
        <v/>
      </c>
      <c r="D345" s="22"/>
      <c r="E345" s="23" t="str">
        <f aca="false">IF(A345="","",IF($B$343&gt;0,MIN(1,N(D345)/$B$343),0))</f>
        <v/>
      </c>
      <c r="F345" s="24" t="str">
        <f aca="false">IF(A345="","",N(B345)*$B$343)</f>
        <v/>
      </c>
      <c r="G345" s="24" t="str">
        <f aca="false">IF(A345="","",N(B345)*($B$343-MIN($B$343,N(D345))))</f>
        <v/>
      </c>
      <c r="O345" s="14" t="s">
        <v>24</v>
      </c>
      <c r="P345" s="25" t="n">
        <f aca="false">COUNTA(A345:A352)</f>
        <v>0</v>
      </c>
    </row>
    <row r="346" customFormat="false" ht="15" hidden="false" customHeight="false" outlineLevel="0" collapsed="false">
      <c r="A346" s="21"/>
      <c r="B346" s="22"/>
      <c r="C346" s="23" t="str">
        <f aca="false">IF(OR(A346="",$B$353=0),"",N(B346)/$B$353)</f>
        <v/>
      </c>
      <c r="D346" s="22"/>
      <c r="E346" s="23" t="str">
        <f aca="false">IF(A346="","",IF($B$343&gt;0,MIN(1,N(D346)/$B$343),0))</f>
        <v/>
      </c>
      <c r="F346" s="24" t="str">
        <f aca="false">IF(A346="","",N(B346)*$B$343)</f>
        <v/>
      </c>
      <c r="G346" s="24" t="str">
        <f aca="false">IF(A346="","",N(B346)*($B$343-MIN($B$343,N(D346))))</f>
        <v/>
      </c>
      <c r="O346" s="14" t="s">
        <v>26</v>
      </c>
      <c r="P346" s="25" t="n">
        <f aca="false">COUNTIF(E345:E352,"&gt;=1")</f>
        <v>0</v>
      </c>
    </row>
    <row r="347" customFormat="false" ht="15" hidden="false" customHeight="false" outlineLevel="0" collapsed="false">
      <c r="A347" s="21"/>
      <c r="B347" s="22"/>
      <c r="C347" s="23" t="str">
        <f aca="false">IF(OR(A347="",$B$353=0),"",N(B347)/$B$353)</f>
        <v/>
      </c>
      <c r="D347" s="22"/>
      <c r="E347" s="23" t="str">
        <f aca="false">IF(A347="","",IF($B$343&gt;0,MIN(1,N(D347)/$B$343),0))</f>
        <v/>
      </c>
      <c r="F347" s="24" t="str">
        <f aca="false">IF(A347="","",N(B347)*$B$343)</f>
        <v/>
      </c>
      <c r="G347" s="24" t="str">
        <f aca="false">IF(A347="","",N(B347)*($B$343-MIN($B$343,N(D347))))</f>
        <v/>
      </c>
    </row>
    <row r="348" customFormat="false" ht="15" hidden="false" customHeight="false" outlineLevel="0" collapsed="false">
      <c r="A348" s="21"/>
      <c r="B348" s="22"/>
      <c r="C348" s="23" t="str">
        <f aca="false">IF(OR(A348="",$B$353=0),"",N(B348)/$B$353)</f>
        <v/>
      </c>
      <c r="D348" s="22"/>
      <c r="E348" s="23" t="str">
        <f aca="false">IF(A348="","",IF($B$343&gt;0,MIN(1,N(D348)/$B$343),0))</f>
        <v/>
      </c>
      <c r="F348" s="24" t="str">
        <f aca="false">IF(A348="","",N(B348)*$B$343)</f>
        <v/>
      </c>
      <c r="G348" s="24" t="str">
        <f aca="false">IF(A348="","",N(B348)*($B$343-MIN($B$343,N(D348))))</f>
        <v/>
      </c>
    </row>
    <row r="349" customFormat="false" ht="15" hidden="false" customHeight="false" outlineLevel="0" collapsed="false">
      <c r="A349" s="21"/>
      <c r="B349" s="22"/>
      <c r="C349" s="23" t="str">
        <f aca="false">IF(OR(A349="",$B$353=0),"",N(B349)/$B$353)</f>
        <v/>
      </c>
      <c r="D349" s="22"/>
      <c r="E349" s="23" t="str">
        <f aca="false">IF(A349="","",IF($B$343&gt;0,MIN(1,N(D349)/$B$343),0))</f>
        <v/>
      </c>
      <c r="F349" s="24" t="str">
        <f aca="false">IF(A349="","",N(B349)*$B$343)</f>
        <v/>
      </c>
      <c r="G349" s="24" t="str">
        <f aca="false">IF(A349="","",N(B349)*($B$343-MIN($B$343,N(D349))))</f>
        <v/>
      </c>
    </row>
    <row r="350" customFormat="false" ht="15" hidden="false" customHeight="false" outlineLevel="0" collapsed="false">
      <c r="A350" s="21"/>
      <c r="B350" s="22"/>
      <c r="C350" s="23" t="str">
        <f aca="false">IF(OR(A350="",$B$353=0),"",N(B350)/$B$353)</f>
        <v/>
      </c>
      <c r="D350" s="22"/>
      <c r="E350" s="23" t="str">
        <f aca="false">IF(A350="","",IF($B$343&gt;0,MIN(1,N(D350)/$B$343),0))</f>
        <v/>
      </c>
      <c r="F350" s="24" t="str">
        <f aca="false">IF(A350="","",N(B350)*$B$343)</f>
        <v/>
      </c>
      <c r="G350" s="24" t="str">
        <f aca="false">IF(A350="","",N(B350)*($B$343-MIN($B$343,N(D350))))</f>
        <v/>
      </c>
    </row>
    <row r="351" customFormat="false" ht="15" hidden="false" customHeight="false" outlineLevel="0" collapsed="false">
      <c r="A351" s="21"/>
      <c r="B351" s="22"/>
      <c r="C351" s="23" t="str">
        <f aca="false">IF(OR(A351="",$B$353=0),"",N(B351)/$B$353)</f>
        <v/>
      </c>
      <c r="D351" s="22"/>
      <c r="E351" s="23" t="str">
        <f aca="false">IF(A351="","",IF($B$343&gt;0,MIN(1,N(D351)/$B$343),0))</f>
        <v/>
      </c>
      <c r="F351" s="24" t="str">
        <f aca="false">IF(A351="","",N(B351)*$B$343)</f>
        <v/>
      </c>
      <c r="G351" s="24" t="str">
        <f aca="false">IF(A351="","",N(B351)*($B$343-MIN($B$343,N(D351))))</f>
        <v/>
      </c>
    </row>
    <row r="352" customFormat="false" ht="15" hidden="false" customHeight="false" outlineLevel="0" collapsed="false">
      <c r="A352" s="21"/>
      <c r="B352" s="22"/>
      <c r="C352" s="23" t="str">
        <f aca="false">IF(OR(A352="",$B$353=0),"",N(B352)/$B$353)</f>
        <v/>
      </c>
      <c r="D352" s="22"/>
      <c r="E352" s="23" t="str">
        <f aca="false">IF(A352="","",IF($B$343&gt;0,MIN(1,N(D352)/$B$343),0))</f>
        <v/>
      </c>
      <c r="F352" s="24" t="str">
        <f aca="false">IF(A352="","",N(B352)*$B$343)</f>
        <v/>
      </c>
      <c r="G352" s="24" t="str">
        <f aca="false">IF(A352="","",N(B352)*($B$343-MIN($B$343,N(D352))))</f>
        <v/>
      </c>
    </row>
    <row r="353" customFormat="false" ht="15" hidden="false" customHeight="false" outlineLevel="0" collapsed="false">
      <c r="A353" s="18" t="s">
        <v>29</v>
      </c>
      <c r="B353" s="26" t="n">
        <f aca="false">SUM(B345:B352)</f>
        <v>0</v>
      </c>
      <c r="C353" s="27"/>
      <c r="D353" s="27"/>
      <c r="E353" s="28" t="n">
        <f aca="false">IF(B353&gt;0,SUMPRODUCT(B345:B352,E345:E352)/B353,IF(COUNT(E345:E352)=0,0,SUM(E345:E352)/COUNT(E345:E352)))</f>
        <v>0</v>
      </c>
      <c r="F353" s="17" t="n">
        <f aca="false">SUM(F345:F352)</f>
        <v>0</v>
      </c>
      <c r="G353" s="17" t="n">
        <f aca="false">SUM(G345:G352)</f>
        <v>0</v>
      </c>
    </row>
    <row r="354" customFormat="false" ht="15" hidden="false" customHeight="false" outlineLevel="0" collapsed="false">
      <c r="A354" s="18" t="s">
        <v>30</v>
      </c>
      <c r="B354" s="27"/>
      <c r="C354" s="27"/>
      <c r="D354" s="27" t="str">
        <f aca="false">F343&amp;"/"&amp;B343</f>
        <v>0/10</v>
      </c>
      <c r="E354" s="28" t="n">
        <f aca="false">IF(B343&gt;0,MIN(1,F343/B343),0)</f>
        <v>0</v>
      </c>
      <c r="F354" s="27"/>
      <c r="G354" s="27"/>
    </row>
    <row r="357" customFormat="false" ht="21.75" hidden="false" customHeight="true" outlineLevel="0" collapsed="false">
      <c r="A357" s="11" t="s">
        <v>60</v>
      </c>
      <c r="B357" s="11"/>
      <c r="C357" s="11"/>
      <c r="D357" s="11"/>
      <c r="E357" s="12" t="s">
        <v>11</v>
      </c>
      <c r="F357" s="13" t="n">
        <f aca="false">C413</f>
        <v>0</v>
      </c>
      <c r="G357" s="11"/>
      <c r="O357" s="14" t="s">
        <v>12</v>
      </c>
      <c r="P357" s="15" t="n">
        <f aca="false">E368</f>
        <v>0</v>
      </c>
    </row>
    <row r="358" customFormat="false" ht="30" hidden="false" customHeight="true" outlineLevel="0" collapsed="false">
      <c r="A358" s="16" t="s">
        <v>13</v>
      </c>
      <c r="B358" s="17" t="n">
        <f aca="false">$B$4</f>
        <v>10</v>
      </c>
      <c r="C358" s="18"/>
      <c r="D358" s="18"/>
      <c r="E358" s="19" t="s">
        <v>14</v>
      </c>
      <c r="F358" s="17" t="n">
        <f aca="false">IF(COUNT(E360:E367)=0,0,ROUND(MIN(E360:E367)*B358,0))</f>
        <v>0</v>
      </c>
      <c r="G358" s="18"/>
      <c r="O358" s="14" t="s">
        <v>15</v>
      </c>
      <c r="P358" s="15" t="n">
        <f aca="false">1-P357</f>
        <v>1</v>
      </c>
    </row>
    <row r="359" customFormat="false" ht="30" hidden="false" customHeight="true" outlineLevel="0" collapsed="false">
      <c r="A359" s="20" t="s">
        <v>16</v>
      </c>
      <c r="B359" s="20" t="s">
        <v>17</v>
      </c>
      <c r="C359" s="20" t="s">
        <v>18</v>
      </c>
      <c r="D359" s="20" t="s">
        <v>19</v>
      </c>
      <c r="E359" s="20" t="s">
        <v>20</v>
      </c>
      <c r="F359" s="20" t="s">
        <v>21</v>
      </c>
      <c r="G359" s="20" t="s">
        <v>22</v>
      </c>
    </row>
    <row r="360" customFormat="false" ht="15" hidden="false" customHeight="false" outlineLevel="0" collapsed="false">
      <c r="A360" s="21"/>
      <c r="B360" s="22"/>
      <c r="C360" s="23" t="str">
        <f aca="false">IF(OR(A360="",$B$368=0),"",N(B360)/$B$368)</f>
        <v/>
      </c>
      <c r="D360" s="22"/>
      <c r="E360" s="23" t="str">
        <f aca="false">IF(A360="","",IF($B$358&gt;0,MIN(1,N(D360)/$B$358),0))</f>
        <v/>
      </c>
      <c r="F360" s="24" t="str">
        <f aca="false">IF(A360="","",N(B360)*$B$358)</f>
        <v/>
      </c>
      <c r="G360" s="24" t="str">
        <f aca="false">IF(A360="","",N(B360)*($B$358-MIN($B$358,N(D360))))</f>
        <v/>
      </c>
      <c r="O360" s="14" t="s">
        <v>24</v>
      </c>
      <c r="P360" s="25" t="n">
        <f aca="false">COUNTA(A360:A367)</f>
        <v>0</v>
      </c>
    </row>
    <row r="361" customFormat="false" ht="15" hidden="false" customHeight="false" outlineLevel="0" collapsed="false">
      <c r="A361" s="21"/>
      <c r="B361" s="22"/>
      <c r="C361" s="23" t="str">
        <f aca="false">IF(OR(A361="",$B$368=0),"",N(B361)/$B$368)</f>
        <v/>
      </c>
      <c r="D361" s="22"/>
      <c r="E361" s="23" t="str">
        <f aca="false">IF(A361="","",IF($B$358&gt;0,MIN(1,N(D361)/$B$358),0))</f>
        <v/>
      </c>
      <c r="F361" s="24" t="str">
        <f aca="false">IF(A361="","",N(B361)*$B$358)</f>
        <v/>
      </c>
      <c r="G361" s="24" t="str">
        <f aca="false">IF(A361="","",N(B361)*($B$358-MIN($B$358,N(D361))))</f>
        <v/>
      </c>
      <c r="O361" s="14" t="s">
        <v>26</v>
      </c>
      <c r="P361" s="25" t="n">
        <f aca="false">COUNTIF(E360:E367,"&gt;=1")</f>
        <v>0</v>
      </c>
    </row>
    <row r="362" customFormat="false" ht="15" hidden="false" customHeight="false" outlineLevel="0" collapsed="false">
      <c r="A362" s="21"/>
      <c r="B362" s="22"/>
      <c r="C362" s="23" t="str">
        <f aca="false">IF(OR(A362="",$B$368=0),"",N(B362)/$B$368)</f>
        <v/>
      </c>
      <c r="D362" s="22"/>
      <c r="E362" s="23" t="str">
        <f aca="false">IF(A362="","",IF($B$358&gt;0,MIN(1,N(D362)/$B$358),0))</f>
        <v/>
      </c>
      <c r="F362" s="24" t="str">
        <f aca="false">IF(A362="","",N(B362)*$B$358)</f>
        <v/>
      </c>
      <c r="G362" s="24" t="str">
        <f aca="false">IF(A362="","",N(B362)*($B$358-MIN($B$358,N(D362))))</f>
        <v/>
      </c>
    </row>
    <row r="363" customFormat="false" ht="15" hidden="false" customHeight="false" outlineLevel="0" collapsed="false">
      <c r="A363" s="21"/>
      <c r="B363" s="22"/>
      <c r="C363" s="23" t="str">
        <f aca="false">IF(OR(A363="",$B$368=0),"",N(B363)/$B$368)</f>
        <v/>
      </c>
      <c r="D363" s="22"/>
      <c r="E363" s="23" t="str">
        <f aca="false">IF(A363="","",IF($B$358&gt;0,MIN(1,N(D363)/$B$358),0))</f>
        <v/>
      </c>
      <c r="F363" s="24" t="str">
        <f aca="false">IF(A363="","",N(B363)*$B$358)</f>
        <v/>
      </c>
      <c r="G363" s="24" t="str">
        <f aca="false">IF(A363="","",N(B363)*($B$358-MIN($B$358,N(D363))))</f>
        <v/>
      </c>
    </row>
    <row r="364" customFormat="false" ht="15" hidden="false" customHeight="false" outlineLevel="0" collapsed="false">
      <c r="A364" s="21"/>
      <c r="B364" s="22"/>
      <c r="C364" s="23" t="str">
        <f aca="false">IF(OR(A364="",$B$368=0),"",N(B364)/$B$368)</f>
        <v/>
      </c>
      <c r="D364" s="22"/>
      <c r="E364" s="23" t="str">
        <f aca="false">IF(A364="","",IF($B$358&gt;0,MIN(1,N(D364)/$B$358),0))</f>
        <v/>
      </c>
      <c r="F364" s="24" t="str">
        <f aca="false">IF(A364="","",N(B364)*$B$358)</f>
        <v/>
      </c>
      <c r="G364" s="24" t="str">
        <f aca="false">IF(A364="","",N(B364)*($B$358-MIN($B$358,N(D364))))</f>
        <v/>
      </c>
    </row>
    <row r="365" customFormat="false" ht="15" hidden="false" customHeight="false" outlineLevel="0" collapsed="false">
      <c r="A365" s="21"/>
      <c r="B365" s="22"/>
      <c r="C365" s="23" t="str">
        <f aca="false">IF(OR(A365="",$B$368=0),"",N(B365)/$B$368)</f>
        <v/>
      </c>
      <c r="D365" s="22"/>
      <c r="E365" s="23" t="str">
        <f aca="false">IF(A365="","",IF($B$358&gt;0,MIN(1,N(D365)/$B$358),0))</f>
        <v/>
      </c>
      <c r="F365" s="24" t="str">
        <f aca="false">IF(A365="","",N(B365)*$B$358)</f>
        <v/>
      </c>
      <c r="G365" s="24" t="str">
        <f aca="false">IF(A365="","",N(B365)*($B$358-MIN($B$358,N(D365))))</f>
        <v/>
      </c>
    </row>
    <row r="366" customFormat="false" ht="15" hidden="false" customHeight="false" outlineLevel="0" collapsed="false">
      <c r="A366" s="21"/>
      <c r="B366" s="22"/>
      <c r="C366" s="23" t="str">
        <f aca="false">IF(OR(A366="",$B$368=0),"",N(B366)/$B$368)</f>
        <v/>
      </c>
      <c r="D366" s="22"/>
      <c r="E366" s="23" t="str">
        <f aca="false">IF(A366="","",IF($B$358&gt;0,MIN(1,N(D366)/$B$358),0))</f>
        <v/>
      </c>
      <c r="F366" s="24" t="str">
        <f aca="false">IF(A366="","",N(B366)*$B$358)</f>
        <v/>
      </c>
      <c r="G366" s="24" t="str">
        <f aca="false">IF(A366="","",N(B366)*($B$358-MIN($B$358,N(D366))))</f>
        <v/>
      </c>
    </row>
    <row r="367" customFormat="false" ht="15" hidden="false" customHeight="false" outlineLevel="0" collapsed="false">
      <c r="A367" s="21"/>
      <c r="B367" s="22"/>
      <c r="C367" s="23" t="str">
        <f aca="false">IF(OR(A367="",$B$368=0),"",N(B367)/$B$368)</f>
        <v/>
      </c>
      <c r="D367" s="22"/>
      <c r="E367" s="23" t="str">
        <f aca="false">IF(A367="","",IF($B$358&gt;0,MIN(1,N(D367)/$B$358),0))</f>
        <v/>
      </c>
      <c r="F367" s="24" t="str">
        <f aca="false">IF(A367="","",N(B367)*$B$358)</f>
        <v/>
      </c>
      <c r="G367" s="24" t="str">
        <f aca="false">IF(A367="","",N(B367)*($B$358-MIN($B$358,N(D367))))</f>
        <v/>
      </c>
    </row>
    <row r="368" customFormat="false" ht="15" hidden="false" customHeight="false" outlineLevel="0" collapsed="false">
      <c r="A368" s="18" t="s">
        <v>29</v>
      </c>
      <c r="B368" s="26" t="n">
        <f aca="false">SUM(B360:B367)</f>
        <v>0</v>
      </c>
      <c r="C368" s="27"/>
      <c r="D368" s="27"/>
      <c r="E368" s="28" t="n">
        <f aca="false">IF(B368&gt;0,SUMPRODUCT(B360:B367,E360:E367)/B368,IF(COUNT(E360:E367)=0,0,SUM(E360:E367)/COUNT(E360:E367)))</f>
        <v>0</v>
      </c>
      <c r="F368" s="17" t="n">
        <f aca="false">SUM(F360:F367)</f>
        <v>0</v>
      </c>
      <c r="G368" s="17" t="n">
        <f aca="false">SUM(G360:G367)</f>
        <v>0</v>
      </c>
    </row>
    <row r="369" customFormat="false" ht="15" hidden="false" customHeight="false" outlineLevel="0" collapsed="false">
      <c r="A369" s="18" t="s">
        <v>30</v>
      </c>
      <c r="B369" s="27"/>
      <c r="C369" s="27"/>
      <c r="D369" s="27" t="str">
        <f aca="false">F358&amp;"/"&amp;B358</f>
        <v>0/10</v>
      </c>
      <c r="E369" s="28" t="n">
        <f aca="false">IF(B358&gt;0,MIN(1,F358/B358),0)</f>
        <v>0</v>
      </c>
      <c r="F369" s="27"/>
      <c r="G369" s="27"/>
    </row>
    <row r="373" customFormat="false" ht="24" hidden="false" customHeight="true" outlineLevel="0" collapsed="false">
      <c r="A373" s="30" t="s">
        <v>61</v>
      </c>
      <c r="B373" s="30"/>
      <c r="C373" s="30"/>
      <c r="D373" s="30"/>
      <c r="E373" s="30"/>
      <c r="F373" s="30"/>
      <c r="G373" s="30"/>
    </row>
    <row r="375" customFormat="false" ht="15" hidden="false" customHeight="false" outlineLevel="0" collapsed="false">
      <c r="A375" s="31" t="s">
        <v>62</v>
      </c>
    </row>
    <row r="376" customFormat="false" ht="15" hidden="false" customHeight="false" outlineLevel="0" collapsed="false">
      <c r="A376" s="32" t="s">
        <v>63</v>
      </c>
      <c r="B376" s="32" t="s">
        <v>64</v>
      </c>
      <c r="C376" s="32" t="s">
        <v>65</v>
      </c>
      <c r="D376" s="32" t="s">
        <v>66</v>
      </c>
    </row>
    <row r="377" customFormat="false" ht="15" hidden="false" customHeight="false" outlineLevel="0" collapsed="false">
      <c r="A377" s="33" t="s">
        <v>4</v>
      </c>
      <c r="B377" s="34" t="n">
        <f aca="false">MIN(B419:B442)</f>
        <v>0</v>
      </c>
      <c r="C377" s="24" t="n">
        <f aca="false">$B$4</f>
        <v>10</v>
      </c>
      <c r="D377" s="35" t="n">
        <f aca="false">IF(C377&gt;0,B377/C377,0)</f>
        <v>0</v>
      </c>
      <c r="O377" s="14" t="s">
        <v>12</v>
      </c>
      <c r="P377" s="15" t="n">
        <f aca="false">D381</f>
        <v>0.131578947368421</v>
      </c>
    </row>
    <row r="378" customFormat="false" ht="15" hidden="false" customHeight="false" outlineLevel="0" collapsed="false">
      <c r="A378" s="33" t="s">
        <v>67</v>
      </c>
      <c r="B378" s="34" t="n">
        <f aca="false">COUNTIF(F419:F442,"Concluída")</f>
        <v>1</v>
      </c>
      <c r="C378" s="24" t="n">
        <f aca="false">COUNTA(A419:A442)</f>
        <v>24</v>
      </c>
      <c r="D378" s="35" t="n">
        <f aca="false">IF(C378&gt;0,B378/C378,0)</f>
        <v>0.0416666666666667</v>
      </c>
      <c r="O378" s="14" t="s">
        <v>15</v>
      </c>
      <c r="P378" s="15" t="n">
        <f aca="false">1-P377</f>
        <v>0.868421052631579</v>
      </c>
    </row>
    <row r="379" customFormat="false" ht="15" hidden="false" customHeight="false" outlineLevel="0" collapsed="false">
      <c r="A379" s="33" t="s">
        <v>68</v>
      </c>
      <c r="B379" s="34" t="n">
        <f aca="false">SUMIF(O:O,"Tarefas 100%",P:P)</f>
        <v>1</v>
      </c>
      <c r="C379" s="24" t="n">
        <f aca="false">SUMIF(O:O,"Tarefas",P:P)</f>
        <v>10</v>
      </c>
      <c r="D379" s="35" t="n">
        <f aca="false">IF(C379&gt;0,B379/C379,0)</f>
        <v>0.1</v>
      </c>
    </row>
    <row r="380" customFormat="false" ht="15" hidden="false" customHeight="false" outlineLevel="0" collapsed="false">
      <c r="A380" s="33" t="s">
        <v>6</v>
      </c>
      <c r="B380" s="34" t="n">
        <f aca="false">B443</f>
        <v>15</v>
      </c>
      <c r="C380" s="24" t="n">
        <f aca="false">C443</f>
        <v>240</v>
      </c>
      <c r="D380" s="35" t="n">
        <f aca="false">IF(C380&gt;0,B380/C380,0)</f>
        <v>0.0625</v>
      </c>
    </row>
    <row r="381" customFormat="false" ht="15" hidden="false" customHeight="false" outlineLevel="0" collapsed="false">
      <c r="A381" s="33" t="s">
        <v>69</v>
      </c>
      <c r="B381" s="36" t="n">
        <f aca="false">F414-G414</f>
        <v>4.16666666666667</v>
      </c>
      <c r="C381" s="37" t="n">
        <f aca="false">F414</f>
        <v>31.6666666666667</v>
      </c>
      <c r="D381" s="35" t="n">
        <f aca="false">IF(C381&gt;0,B381/C381,0)</f>
        <v>0.131578947368421</v>
      </c>
    </row>
    <row r="382" customFormat="false" ht="15" hidden="false" customHeight="false" outlineLevel="0" collapsed="false">
      <c r="A382" s="33" t="s">
        <v>70</v>
      </c>
      <c r="B382" s="36" t="n">
        <f aca="false">B414/60</f>
        <v>3.16666666666667</v>
      </c>
    </row>
    <row r="383" customFormat="false" ht="15" hidden="false" customHeight="false" outlineLevel="0" collapsed="false">
      <c r="A383" s="33" t="s">
        <v>7</v>
      </c>
      <c r="B383" s="36" t="n">
        <f aca="false">G414</f>
        <v>27.5</v>
      </c>
    </row>
    <row r="384" customFormat="false" ht="15" hidden="false" customHeight="false" outlineLevel="0" collapsed="false">
      <c r="A384" s="33" t="s">
        <v>8</v>
      </c>
      <c r="B384" s="36" t="n">
        <f aca="false">Equipe!B8</f>
        <v>3.4375</v>
      </c>
    </row>
    <row r="385" customFormat="false" ht="15" hidden="false" customHeight="false" outlineLevel="0" collapsed="false">
      <c r="A385" s="33" t="s">
        <v>71</v>
      </c>
      <c r="B385" s="34" t="n">
        <f aca="false">COUNTIF(B390:B413,0)</f>
        <v>22</v>
      </c>
    </row>
    <row r="388" customFormat="false" ht="15" hidden="false" customHeight="false" outlineLevel="0" collapsed="false">
      <c r="A388" s="31" t="s">
        <v>72</v>
      </c>
    </row>
    <row r="389" customFormat="false" ht="30" hidden="false" customHeight="true" outlineLevel="0" collapsed="false">
      <c r="A389" s="20" t="s">
        <v>73</v>
      </c>
      <c r="B389" s="20" t="s">
        <v>74</v>
      </c>
      <c r="C389" s="20" t="s">
        <v>11</v>
      </c>
      <c r="D389" s="20" t="s">
        <v>75</v>
      </c>
      <c r="E389" s="20" t="s">
        <v>76</v>
      </c>
      <c r="F389" s="20" t="s">
        <v>77</v>
      </c>
      <c r="G389" s="20" t="s">
        <v>7</v>
      </c>
    </row>
    <row r="390" customFormat="false" ht="15" hidden="false" customHeight="false" outlineLevel="0" collapsed="false">
      <c r="A390" s="33" t="str">
        <f aca="false">A12</f>
        <v>3. Montagem do Suporte de Manutenção</v>
      </c>
      <c r="B390" s="24" t="n">
        <f aca="false">B23</f>
        <v>130</v>
      </c>
      <c r="C390" s="38" t="n">
        <f aca="false">IF($B$414=0,0,B390/$B$414)</f>
        <v>0.68421052631579</v>
      </c>
      <c r="D390" s="24" t="n">
        <f aca="false">B13</f>
        <v>10</v>
      </c>
      <c r="E390" s="38" t="n">
        <f aca="false">E23</f>
        <v>0.192307692307692</v>
      </c>
      <c r="F390" s="37" t="n">
        <f aca="false">B390*D390/60</f>
        <v>21.6666666666667</v>
      </c>
      <c r="G390" s="37" t="n">
        <f aca="false">F390*(1-E390)</f>
        <v>17.5</v>
      </c>
    </row>
    <row r="391" customFormat="false" ht="15" hidden="false" customHeight="false" outlineLevel="0" collapsed="false">
      <c r="A391" s="33" t="str">
        <f aca="false">A27</f>
        <v>4. Alinhamento da estrutura do SoBot</v>
      </c>
      <c r="B391" s="24" t="n">
        <f aca="false">B38</f>
        <v>60</v>
      </c>
      <c r="C391" s="38" t="n">
        <f aca="false">IF($B$414=0,0,B391/$B$414)</f>
        <v>0.315789473684211</v>
      </c>
      <c r="D391" s="24" t="n">
        <f aca="false">B28</f>
        <v>10</v>
      </c>
      <c r="E391" s="38" t="n">
        <f aca="false">E38</f>
        <v>0</v>
      </c>
      <c r="F391" s="37" t="n">
        <f aca="false">B391*D391/60</f>
        <v>10</v>
      </c>
      <c r="G391" s="37" t="n">
        <f aca="false">F391*(1-E391)</f>
        <v>10</v>
      </c>
    </row>
    <row r="392" customFormat="false" ht="15" hidden="false" customHeight="false" outlineLevel="0" collapsed="false">
      <c r="A392" s="33" t="str">
        <f aca="false">A42</f>
        <v>5. Pontos de Aterramento</v>
      </c>
      <c r="B392" s="24" t="n">
        <f aca="false">B53</f>
        <v>0</v>
      </c>
      <c r="C392" s="38" t="n">
        <f aca="false">IF($B$414=0,0,B392/$B$414)</f>
        <v>0</v>
      </c>
      <c r="D392" s="24" t="n">
        <f aca="false">B43</f>
        <v>10</v>
      </c>
      <c r="E392" s="38" t="n">
        <f aca="false">E53</f>
        <v>1</v>
      </c>
      <c r="F392" s="37" t="n">
        <f aca="false">B392*D392/60</f>
        <v>0</v>
      </c>
      <c r="G392" s="37" t="n">
        <f aca="false">F392*(1-E392)</f>
        <v>0</v>
      </c>
    </row>
    <row r="393" customFormat="false" ht="15" hidden="false" customHeight="false" outlineLevel="0" collapsed="false">
      <c r="A393" s="33" t="str">
        <f aca="false">A57</f>
        <v>6. Instalação dos Mancais e Eixos</v>
      </c>
      <c r="B393" s="24" t="n">
        <f aca="false">B68</f>
        <v>0</v>
      </c>
      <c r="C393" s="38" t="n">
        <f aca="false">IF($B$414=0,0,B393/$B$414)</f>
        <v>0</v>
      </c>
      <c r="D393" s="24" t="n">
        <f aca="false">B58</f>
        <v>10</v>
      </c>
      <c r="E393" s="38" t="n">
        <f aca="false">E68</f>
        <v>0.6</v>
      </c>
      <c r="F393" s="37" t="n">
        <f aca="false">B393*D393/60</f>
        <v>0</v>
      </c>
      <c r="G393" s="37" t="n">
        <f aca="false">F393*(1-E393)</f>
        <v>0</v>
      </c>
    </row>
    <row r="394" customFormat="false" ht="15" hidden="false" customHeight="false" outlineLevel="0" collapsed="false">
      <c r="A394" s="33" t="str">
        <f aca="false">A72</f>
        <v>7. Instalação dos Motores, Polias e Correias</v>
      </c>
      <c r="B394" s="24" t="n">
        <f aca="false">B83</f>
        <v>0</v>
      </c>
      <c r="C394" s="38" t="n">
        <f aca="false">IF($B$414=0,0,B394/$B$414)</f>
        <v>0</v>
      </c>
      <c r="D394" s="24" t="n">
        <f aca="false">B73</f>
        <v>10</v>
      </c>
      <c r="E394" s="38" t="n">
        <f aca="false">E83</f>
        <v>0</v>
      </c>
      <c r="F394" s="37" t="n">
        <f aca="false">B394*D394/60</f>
        <v>0</v>
      </c>
      <c r="G394" s="37" t="n">
        <f aca="false">F394*(1-E394)</f>
        <v>0</v>
      </c>
    </row>
    <row r="395" customFormat="false" ht="15" hidden="false" customHeight="false" outlineLevel="0" collapsed="false">
      <c r="A395" s="33" t="str">
        <f aca="false">A87</f>
        <v>8. Instalação da Caixa de Som e Suporte Lateral</v>
      </c>
      <c r="B395" s="24" t="n">
        <f aca="false">B98</f>
        <v>0</v>
      </c>
      <c r="C395" s="38" t="n">
        <f aca="false">IF($B$414=0,0,B395/$B$414)</f>
        <v>0</v>
      </c>
      <c r="D395" s="24" t="n">
        <f aca="false">B88</f>
        <v>10</v>
      </c>
      <c r="E395" s="38" t="n">
        <f aca="false">E98</f>
        <v>0</v>
      </c>
      <c r="F395" s="37" t="n">
        <f aca="false">B395*D395/60</f>
        <v>0</v>
      </c>
      <c r="G395" s="37" t="n">
        <f aca="false">F395*(1-E395)</f>
        <v>0</v>
      </c>
    </row>
    <row r="396" customFormat="false" ht="15" hidden="false" customHeight="false" outlineLevel="0" collapsed="false">
      <c r="A396" s="33" t="str">
        <f aca="false">A102</f>
        <v>9. Montagem do Rodízio e Perfil</v>
      </c>
      <c r="B396" s="24" t="n">
        <f aca="false">B113</f>
        <v>0</v>
      </c>
      <c r="C396" s="38" t="n">
        <f aca="false">IF($B$414=0,0,B396/$B$414)</f>
        <v>0</v>
      </c>
      <c r="D396" s="24" t="n">
        <f aca="false">B103</f>
        <v>10</v>
      </c>
      <c r="E396" s="38" t="n">
        <f aca="false">E113</f>
        <v>0</v>
      </c>
      <c r="F396" s="37" t="n">
        <f aca="false">B396*D396/60</f>
        <v>0</v>
      </c>
      <c r="G396" s="37" t="n">
        <f aca="false">F396*(1-E396)</f>
        <v>0</v>
      </c>
    </row>
    <row r="397" customFormat="false" ht="15" hidden="false" customHeight="false" outlineLevel="0" collapsed="false">
      <c r="A397" s="33" t="str">
        <f aca="false">A117</f>
        <v>10. Montagem dos Suportes Ultrassônicos</v>
      </c>
      <c r="B397" s="24" t="n">
        <f aca="false">B128</f>
        <v>0</v>
      </c>
      <c r="C397" s="38" t="n">
        <f aca="false">IF($B$414=0,0,B397/$B$414)</f>
        <v>0</v>
      </c>
      <c r="D397" s="24" t="n">
        <f aca="false">B118</f>
        <v>10</v>
      </c>
      <c r="E397" s="38" t="n">
        <f aca="false">E128</f>
        <v>0</v>
      </c>
      <c r="F397" s="37" t="n">
        <f aca="false">B397*D397/60</f>
        <v>0</v>
      </c>
      <c r="G397" s="37" t="n">
        <f aca="false">F397*(1-E397)</f>
        <v>0</v>
      </c>
    </row>
    <row r="398" customFormat="false" ht="15" hidden="false" customHeight="false" outlineLevel="0" collapsed="false">
      <c r="A398" s="33" t="str">
        <f aca="false">A132</f>
        <v>11. Montagem Fita LED</v>
      </c>
      <c r="B398" s="24" t="n">
        <f aca="false">B143</f>
        <v>0</v>
      </c>
      <c r="C398" s="38" t="n">
        <f aca="false">IF($B$414=0,0,B398/$B$414)</f>
        <v>0</v>
      </c>
      <c r="D398" s="24" t="n">
        <f aca="false">B133</f>
        <v>10</v>
      </c>
      <c r="E398" s="38" t="n">
        <f aca="false">E143</f>
        <v>0</v>
      </c>
      <c r="F398" s="37" t="n">
        <f aca="false">B398*D398/60</f>
        <v>0</v>
      </c>
      <c r="G398" s="37" t="n">
        <f aca="false">F398*(1-E398)</f>
        <v>0</v>
      </c>
    </row>
    <row r="399" customFormat="false" ht="15" hidden="false" customHeight="false" outlineLevel="0" collapsed="false">
      <c r="A399" s="33" t="str">
        <f aca="false">A147</f>
        <v>12. Montagem Cooler PCI de Controle</v>
      </c>
      <c r="B399" s="24" t="n">
        <f aca="false">B158</f>
        <v>0</v>
      </c>
      <c r="C399" s="38" t="n">
        <f aca="false">IF($B$414=0,0,B399/$B$414)</f>
        <v>0</v>
      </c>
      <c r="D399" s="24" t="n">
        <f aca="false">B148</f>
        <v>10</v>
      </c>
      <c r="E399" s="38" t="n">
        <f aca="false">E158</f>
        <v>0</v>
      </c>
      <c r="F399" s="37" t="n">
        <f aca="false">B399*D399/60</f>
        <v>0</v>
      </c>
      <c r="G399" s="37" t="n">
        <f aca="false">F399*(1-E399)</f>
        <v>0</v>
      </c>
    </row>
    <row r="400" customFormat="false" ht="15" hidden="false" customHeight="false" outlineLevel="0" collapsed="false">
      <c r="A400" s="33" t="str">
        <f aca="false">A162</f>
        <v>13. Instalação PCI de Controle</v>
      </c>
      <c r="B400" s="24" t="n">
        <f aca="false">B173</f>
        <v>0</v>
      </c>
      <c r="C400" s="38" t="n">
        <f aca="false">IF($B$414=0,0,B400/$B$414)</f>
        <v>0</v>
      </c>
      <c r="D400" s="24" t="n">
        <f aca="false">B163</f>
        <v>10</v>
      </c>
      <c r="E400" s="38" t="n">
        <f aca="false">E173</f>
        <v>0</v>
      </c>
      <c r="F400" s="37" t="n">
        <f aca="false">B400*D400/60</f>
        <v>0</v>
      </c>
      <c r="G400" s="37" t="n">
        <f aca="false">F400*(1-E400)</f>
        <v>0</v>
      </c>
    </row>
    <row r="401" customFormat="false" ht="15" hidden="false" customHeight="false" outlineLevel="0" collapsed="false">
      <c r="A401" s="33" t="str">
        <f aca="false">A177</f>
        <v>14. Instalação Cooler e Raspberry</v>
      </c>
      <c r="B401" s="24" t="n">
        <f aca="false">B188</f>
        <v>0</v>
      </c>
      <c r="C401" s="38" t="n">
        <f aca="false">IF($B$414=0,0,B401/$B$414)</f>
        <v>0</v>
      </c>
      <c r="D401" s="24" t="n">
        <f aca="false">B178</f>
        <v>10</v>
      </c>
      <c r="E401" s="38" t="n">
        <f aca="false">E188</f>
        <v>0</v>
      </c>
      <c r="F401" s="37" t="n">
        <f aca="false">B401*D401/60</f>
        <v>0</v>
      </c>
      <c r="G401" s="37" t="n">
        <f aca="false">F401*(1-E401)</f>
        <v>0</v>
      </c>
    </row>
    <row r="402" customFormat="false" ht="15" hidden="false" customHeight="false" outlineLevel="0" collapsed="false">
      <c r="A402" s="33" t="str">
        <f aca="false">A192</f>
        <v>15. Fixação dos Perfis de Alumínio</v>
      </c>
      <c r="B402" s="24" t="n">
        <f aca="false">B203</f>
        <v>0</v>
      </c>
      <c r="C402" s="38" t="n">
        <f aca="false">IF($B$414=0,0,B402/$B$414)</f>
        <v>0</v>
      </c>
      <c r="D402" s="24" t="n">
        <f aca="false">B193</f>
        <v>10</v>
      </c>
      <c r="E402" s="38" t="n">
        <f aca="false">E203</f>
        <v>0</v>
      </c>
      <c r="F402" s="37" t="n">
        <f aca="false">B402*D402/60</f>
        <v>0</v>
      </c>
      <c r="G402" s="37" t="n">
        <f aca="false">F402*(1-E402)</f>
        <v>0</v>
      </c>
    </row>
    <row r="403" customFormat="false" ht="15" hidden="false" customHeight="false" outlineLevel="0" collapsed="false">
      <c r="A403" s="33" t="str">
        <f aca="false">A207</f>
        <v>16. Montagem dos Chassis</v>
      </c>
      <c r="B403" s="24" t="n">
        <f aca="false">B218</f>
        <v>0</v>
      </c>
      <c r="C403" s="38" t="n">
        <f aca="false">IF($B$414=0,0,B403/$B$414)</f>
        <v>0</v>
      </c>
      <c r="D403" s="24" t="n">
        <f aca="false">B208</f>
        <v>10</v>
      </c>
      <c r="E403" s="38" t="n">
        <f aca="false">E218</f>
        <v>0</v>
      </c>
      <c r="F403" s="37" t="n">
        <f aca="false">B403*D403/60</f>
        <v>0</v>
      </c>
      <c r="G403" s="37" t="n">
        <f aca="false">F403*(1-E403)</f>
        <v>0</v>
      </c>
    </row>
    <row r="404" customFormat="false" ht="15" hidden="false" customHeight="false" outlineLevel="0" collapsed="false">
      <c r="A404" s="33" t="str">
        <f aca="false">A222</f>
        <v>17. Fixação da Carenagem Superior</v>
      </c>
      <c r="B404" s="24" t="n">
        <f aca="false">B233</f>
        <v>0</v>
      </c>
      <c r="C404" s="38" t="n">
        <f aca="false">IF($B$414=0,0,B404/$B$414)</f>
        <v>0</v>
      </c>
      <c r="D404" s="24" t="n">
        <f aca="false">B223</f>
        <v>10</v>
      </c>
      <c r="E404" s="38" t="n">
        <f aca="false">E233</f>
        <v>0</v>
      </c>
      <c r="F404" s="37" t="n">
        <f aca="false">B404*D404/60</f>
        <v>0</v>
      </c>
      <c r="G404" s="37" t="n">
        <f aca="false">F404*(1-E404)</f>
        <v>0</v>
      </c>
    </row>
    <row r="405" customFormat="false" ht="15" hidden="false" customHeight="false" outlineLevel="0" collapsed="false">
      <c r="A405" s="33" t="str">
        <f aca="false">A237</f>
        <v>18. Ligações Elétricas</v>
      </c>
      <c r="B405" s="24" t="n">
        <f aca="false">B248</f>
        <v>0</v>
      </c>
      <c r="C405" s="38" t="n">
        <f aca="false">IF($B$414=0,0,B405/$B$414)</f>
        <v>0</v>
      </c>
      <c r="D405" s="24" t="n">
        <f aca="false">B238</f>
        <v>10</v>
      </c>
      <c r="E405" s="38" t="n">
        <f aca="false">E248</f>
        <v>0</v>
      </c>
      <c r="F405" s="37" t="n">
        <f aca="false">B405*D405/60</f>
        <v>0</v>
      </c>
      <c r="G405" s="37" t="n">
        <f aca="false">F405*(1-E405)</f>
        <v>0</v>
      </c>
    </row>
    <row r="406" customFormat="false" ht="15" hidden="false" customHeight="false" outlineLevel="0" collapsed="false">
      <c r="A406" s="33" t="str">
        <f aca="false">A252</f>
        <v>19. Montagem dos Itens Elétricos na Carenagem...</v>
      </c>
      <c r="B406" s="24" t="n">
        <f aca="false">B263</f>
        <v>0</v>
      </c>
      <c r="C406" s="38" t="n">
        <f aca="false">IF($B$414=0,0,B406/$B$414)</f>
        <v>0</v>
      </c>
      <c r="D406" s="24" t="n">
        <f aca="false">B253</f>
        <v>10</v>
      </c>
      <c r="E406" s="38" t="n">
        <f aca="false">E263</f>
        <v>0</v>
      </c>
      <c r="F406" s="37" t="n">
        <f aca="false">B406*D406/60</f>
        <v>0</v>
      </c>
      <c r="G406" s="37" t="n">
        <f aca="false">F406*(1-E406)</f>
        <v>0</v>
      </c>
    </row>
    <row r="407" customFormat="false" ht="15" hidden="false" customHeight="false" outlineLevel="0" collapsed="false">
      <c r="A407" s="33" t="str">
        <f aca="false">A267</f>
        <v>20. Montagem dos Sensores na Carenagem Infer...</v>
      </c>
      <c r="B407" s="24" t="n">
        <f aca="false">B278</f>
        <v>0</v>
      </c>
      <c r="C407" s="38" t="n">
        <f aca="false">IF($B$414=0,0,B407/$B$414)</f>
        <v>0</v>
      </c>
      <c r="D407" s="24" t="n">
        <f aca="false">B268</f>
        <v>10</v>
      </c>
      <c r="E407" s="38" t="n">
        <f aca="false">E278</f>
        <v>0</v>
      </c>
      <c r="F407" s="37" t="n">
        <f aca="false">B407*D407/60</f>
        <v>0</v>
      </c>
      <c r="G407" s="37" t="n">
        <f aca="false">F407*(1-E407)</f>
        <v>0</v>
      </c>
    </row>
    <row r="408" customFormat="false" ht="15" hidden="false" customHeight="false" outlineLevel="0" collapsed="false">
      <c r="A408" s="33" t="str">
        <f aca="false">A282</f>
        <v>21. Montagem da Carenagem Inferior</v>
      </c>
      <c r="B408" s="24" t="n">
        <f aca="false">B293</f>
        <v>0</v>
      </c>
      <c r="C408" s="38" t="n">
        <f aca="false">IF($B$414=0,0,B408/$B$414)</f>
        <v>0</v>
      </c>
      <c r="D408" s="24" t="n">
        <f aca="false">B283</f>
        <v>10</v>
      </c>
      <c r="E408" s="38" t="n">
        <f aca="false">E293</f>
        <v>0</v>
      </c>
      <c r="F408" s="37" t="n">
        <f aca="false">B408*D408/60</f>
        <v>0</v>
      </c>
      <c r="G408" s="37" t="n">
        <f aca="false">F408*(1-E408)</f>
        <v>0</v>
      </c>
    </row>
    <row r="409" customFormat="false" ht="15" hidden="false" customHeight="false" outlineLevel="0" collapsed="false">
      <c r="A409" s="33" t="str">
        <f aca="false">A297</f>
        <v>22. Alinhamento do Robô</v>
      </c>
      <c r="B409" s="24" t="n">
        <f aca="false">B308</f>
        <v>0</v>
      </c>
      <c r="C409" s="38" t="n">
        <f aca="false">IF($B$414=0,0,B409/$B$414)</f>
        <v>0</v>
      </c>
      <c r="D409" s="24" t="n">
        <f aca="false">B298</f>
        <v>10</v>
      </c>
      <c r="E409" s="38" t="n">
        <f aca="false">E308</f>
        <v>0</v>
      </c>
      <c r="F409" s="37" t="n">
        <f aca="false">B409*D409/60</f>
        <v>0</v>
      </c>
      <c r="G409" s="37" t="n">
        <f aca="false">F409*(1-E409)</f>
        <v>0</v>
      </c>
    </row>
    <row r="410" customFormat="false" ht="15" hidden="false" customHeight="false" outlineLevel="0" collapsed="false">
      <c r="A410" s="33" t="str">
        <f aca="false">A312</f>
        <v>23. Fixação das Rodas OFF-Road</v>
      </c>
      <c r="B410" s="24" t="n">
        <f aca="false">B323</f>
        <v>0</v>
      </c>
      <c r="C410" s="38" t="n">
        <f aca="false">IF($B$414=0,0,B410/$B$414)</f>
        <v>0</v>
      </c>
      <c r="D410" s="24" t="n">
        <f aca="false">B313</f>
        <v>10</v>
      </c>
      <c r="E410" s="38" t="n">
        <f aca="false">E323</f>
        <v>0</v>
      </c>
      <c r="F410" s="37" t="n">
        <f aca="false">B410*D410/60</f>
        <v>0</v>
      </c>
      <c r="G410" s="37" t="n">
        <f aca="false">F410*(1-E410)</f>
        <v>0</v>
      </c>
    </row>
    <row r="411" customFormat="false" ht="15" hidden="false" customHeight="false" outlineLevel="0" collapsed="false">
      <c r="A411" s="33" t="str">
        <f aca="false">A327</f>
        <v>24. Fixação do Conector de Alimentação Externa</v>
      </c>
      <c r="B411" s="24" t="n">
        <f aca="false">B338</f>
        <v>0</v>
      </c>
      <c r="C411" s="38" t="n">
        <f aca="false">IF($B$414=0,0,B411/$B$414)</f>
        <v>0</v>
      </c>
      <c r="D411" s="24" t="n">
        <f aca="false">B328</f>
        <v>10</v>
      </c>
      <c r="E411" s="38" t="n">
        <f aca="false">E338</f>
        <v>0</v>
      </c>
      <c r="F411" s="37" t="n">
        <f aca="false">B411*D411/60</f>
        <v>0</v>
      </c>
      <c r="G411" s="37" t="n">
        <f aca="false">F411*(1-E411)</f>
        <v>0</v>
      </c>
    </row>
    <row r="412" customFormat="false" ht="15" hidden="false" customHeight="false" outlineLevel="0" collapsed="false">
      <c r="A412" s="33" t="str">
        <f aca="false">A342</f>
        <v>25. Fixação da Tampa Superior</v>
      </c>
      <c r="B412" s="24" t="n">
        <f aca="false">B353</f>
        <v>0</v>
      </c>
      <c r="C412" s="38" t="n">
        <f aca="false">IF($B$414=0,0,B412/$B$414)</f>
        <v>0</v>
      </c>
      <c r="D412" s="24" t="n">
        <f aca="false">B343</f>
        <v>10</v>
      </c>
      <c r="E412" s="38" t="n">
        <f aca="false">E353</f>
        <v>0</v>
      </c>
      <c r="F412" s="37" t="n">
        <f aca="false">B412*D412/60</f>
        <v>0</v>
      </c>
      <c r="G412" s="37" t="n">
        <f aca="false">F412*(1-E412)</f>
        <v>0</v>
      </c>
    </row>
    <row r="413" customFormat="false" ht="15" hidden="false" customHeight="false" outlineLevel="0" collapsed="false">
      <c r="A413" s="33" t="str">
        <f aca="false">A357</f>
        <v>26. Acessórios Single</v>
      </c>
      <c r="B413" s="24" t="n">
        <f aca="false">B368</f>
        <v>0</v>
      </c>
      <c r="C413" s="38" t="n">
        <f aca="false">IF($B$414=0,0,B413/$B$414)</f>
        <v>0</v>
      </c>
      <c r="D413" s="24" t="n">
        <f aca="false">B358</f>
        <v>10</v>
      </c>
      <c r="E413" s="38" t="n">
        <f aca="false">E368</f>
        <v>0</v>
      </c>
      <c r="F413" s="37" t="n">
        <f aca="false">B413*D413/60</f>
        <v>0</v>
      </c>
      <c r="G413" s="37" t="n">
        <f aca="false">F413*(1-E413)</f>
        <v>0</v>
      </c>
    </row>
    <row r="414" customFormat="false" ht="15" hidden="false" customHeight="false" outlineLevel="0" collapsed="false">
      <c r="A414" s="18" t="s">
        <v>65</v>
      </c>
      <c r="B414" s="17" t="n">
        <f aca="false">SUM(B390:B413)</f>
        <v>190</v>
      </c>
      <c r="C414" s="28" t="n">
        <f aca="false">SUM(C390:C413)</f>
        <v>1</v>
      </c>
      <c r="D414" s="17" t="n">
        <f aca="false">SUM(D390:D413)</f>
        <v>240</v>
      </c>
      <c r="E414" s="28" t="n">
        <f aca="false">IF(F414=0,0,1-G414/F414)</f>
        <v>0.131578947368421</v>
      </c>
      <c r="F414" s="39" t="n">
        <f aca="false">SUM(F390:F413)</f>
        <v>31.6666666666667</v>
      </c>
      <c r="G414" s="39" t="n">
        <f aca="false">SUM(G390:G413)</f>
        <v>27.5</v>
      </c>
    </row>
    <row r="417" customFormat="false" ht="15" hidden="false" customHeight="false" outlineLevel="0" collapsed="false">
      <c r="A417" s="31" t="s">
        <v>78</v>
      </c>
    </row>
    <row r="418" customFormat="false" ht="30" hidden="false" customHeight="true" outlineLevel="0" collapsed="false">
      <c r="A418" s="20" t="s">
        <v>73</v>
      </c>
      <c r="B418" s="20" t="s">
        <v>79</v>
      </c>
      <c r="C418" s="20" t="s">
        <v>75</v>
      </c>
      <c r="D418" s="20" t="s">
        <v>80</v>
      </c>
      <c r="E418" s="20" t="s">
        <v>81</v>
      </c>
      <c r="F418" s="20" t="s">
        <v>82</v>
      </c>
    </row>
    <row r="419" customFormat="false" ht="15" hidden="false" customHeight="false" outlineLevel="0" collapsed="false">
      <c r="A419" s="33" t="str">
        <f aca="false">A12</f>
        <v>3. Montagem do Suporte de Manutenção</v>
      </c>
      <c r="B419" s="24" t="n">
        <f aca="false">F13</f>
        <v>1</v>
      </c>
      <c r="C419" s="24" t="n">
        <f aca="false">B13</f>
        <v>10</v>
      </c>
      <c r="D419" s="40" t="str">
        <f aca="false">B419&amp;"/"&amp;C419</f>
        <v>1/10</v>
      </c>
      <c r="E419" s="38" t="n">
        <f aca="false">IF(C419&gt;0,B419/C419,0)</f>
        <v>0.1</v>
      </c>
      <c r="F419" s="40" t="str">
        <f aca="false">IF(AND(C419&gt;0,B419&gt;=C419),"Concluída",IF(OR(B419&gt;0,E390&gt;0),"Em andamento","Não iniciada"))</f>
        <v>Em andamento</v>
      </c>
    </row>
    <row r="420" customFormat="false" ht="15" hidden="false" customHeight="false" outlineLevel="0" collapsed="false">
      <c r="A420" s="33" t="str">
        <f aca="false">A27</f>
        <v>4. Alinhamento da estrutura do SoBot</v>
      </c>
      <c r="B420" s="24" t="n">
        <f aca="false">F28</f>
        <v>0</v>
      </c>
      <c r="C420" s="24" t="n">
        <f aca="false">B28</f>
        <v>10</v>
      </c>
      <c r="D420" s="40" t="str">
        <f aca="false">B420&amp;"/"&amp;C420</f>
        <v>0/10</v>
      </c>
      <c r="E420" s="38" t="n">
        <f aca="false">IF(C420&gt;0,B420/C420,0)</f>
        <v>0</v>
      </c>
      <c r="F420" s="40" t="str">
        <f aca="false">IF(AND(C420&gt;0,B420&gt;=C420),"Concluída",IF(OR(B420&gt;0,E391&gt;0),"Em andamento","Não iniciada"))</f>
        <v>Não iniciada</v>
      </c>
    </row>
    <row r="421" customFormat="false" ht="15" hidden="false" customHeight="false" outlineLevel="0" collapsed="false">
      <c r="A421" s="33" t="str">
        <f aca="false">A42</f>
        <v>5. Pontos de Aterramento</v>
      </c>
      <c r="B421" s="24" t="n">
        <f aca="false">F43</f>
        <v>10</v>
      </c>
      <c r="C421" s="24" t="n">
        <f aca="false">B43</f>
        <v>10</v>
      </c>
      <c r="D421" s="40" t="str">
        <f aca="false">B421&amp;"/"&amp;C421</f>
        <v>10/10</v>
      </c>
      <c r="E421" s="38" t="n">
        <f aca="false">IF(C421&gt;0,B421/C421,0)</f>
        <v>1</v>
      </c>
      <c r="F421" s="40" t="str">
        <f aca="false">IF(AND(C421&gt;0,B421&gt;=C421),"Concluída",IF(OR(B421&gt;0,E392&gt;0),"Em andamento","Não iniciada"))</f>
        <v>Concluída</v>
      </c>
    </row>
    <row r="422" customFormat="false" ht="15" hidden="false" customHeight="false" outlineLevel="0" collapsed="false">
      <c r="A422" s="33" t="str">
        <f aca="false">A57</f>
        <v>6. Instalação dos Mancais e Eixos</v>
      </c>
      <c r="B422" s="24" t="n">
        <f aca="false">F58</f>
        <v>4</v>
      </c>
      <c r="C422" s="24" t="n">
        <f aca="false">B58</f>
        <v>10</v>
      </c>
      <c r="D422" s="40" t="str">
        <f aca="false">B422&amp;"/"&amp;C422</f>
        <v>4/10</v>
      </c>
      <c r="E422" s="38" t="n">
        <f aca="false">IF(C422&gt;0,B422/C422,0)</f>
        <v>0.4</v>
      </c>
      <c r="F422" s="40" t="str">
        <f aca="false">IF(AND(C422&gt;0,B422&gt;=C422),"Concluída",IF(OR(B422&gt;0,E393&gt;0),"Em andamento","Não iniciada"))</f>
        <v>Em andamento</v>
      </c>
    </row>
    <row r="423" customFormat="false" ht="15" hidden="false" customHeight="false" outlineLevel="0" collapsed="false">
      <c r="A423" s="33" t="str">
        <f aca="false">A72</f>
        <v>7. Instalação dos Motores, Polias e Correias</v>
      </c>
      <c r="B423" s="24" t="n">
        <f aca="false">F73</f>
        <v>0</v>
      </c>
      <c r="C423" s="24" t="n">
        <f aca="false">B73</f>
        <v>10</v>
      </c>
      <c r="D423" s="40" t="str">
        <f aca="false">B423&amp;"/"&amp;C423</f>
        <v>0/10</v>
      </c>
      <c r="E423" s="38" t="n">
        <f aca="false">IF(C423&gt;0,B423/C423,0)</f>
        <v>0</v>
      </c>
      <c r="F423" s="40" t="str">
        <f aca="false">IF(AND(C423&gt;0,B423&gt;=C423),"Concluída",IF(OR(B423&gt;0,E394&gt;0),"Em andamento","Não iniciada"))</f>
        <v>Não iniciada</v>
      </c>
    </row>
    <row r="424" customFormat="false" ht="15" hidden="false" customHeight="false" outlineLevel="0" collapsed="false">
      <c r="A424" s="33" t="str">
        <f aca="false">A87</f>
        <v>8. Instalação da Caixa de Som e Suporte Lateral</v>
      </c>
      <c r="B424" s="24" t="n">
        <f aca="false">F88</f>
        <v>0</v>
      </c>
      <c r="C424" s="24" t="n">
        <f aca="false">B88</f>
        <v>10</v>
      </c>
      <c r="D424" s="40" t="str">
        <f aca="false">B424&amp;"/"&amp;C424</f>
        <v>0/10</v>
      </c>
      <c r="E424" s="38" t="n">
        <f aca="false">IF(C424&gt;0,B424/C424,0)</f>
        <v>0</v>
      </c>
      <c r="F424" s="40" t="str">
        <f aca="false">IF(AND(C424&gt;0,B424&gt;=C424),"Concluída",IF(OR(B424&gt;0,E395&gt;0),"Em andamento","Não iniciada"))</f>
        <v>Não iniciada</v>
      </c>
    </row>
    <row r="425" customFormat="false" ht="15" hidden="false" customHeight="false" outlineLevel="0" collapsed="false">
      <c r="A425" s="33" t="str">
        <f aca="false">A102</f>
        <v>9. Montagem do Rodízio e Perfil</v>
      </c>
      <c r="B425" s="24" t="n">
        <f aca="false">F103</f>
        <v>0</v>
      </c>
      <c r="C425" s="24" t="n">
        <f aca="false">B103</f>
        <v>10</v>
      </c>
      <c r="D425" s="40" t="str">
        <f aca="false">B425&amp;"/"&amp;C425</f>
        <v>0/10</v>
      </c>
      <c r="E425" s="38" t="n">
        <f aca="false">IF(C425&gt;0,B425/C425,0)</f>
        <v>0</v>
      </c>
      <c r="F425" s="40" t="str">
        <f aca="false">IF(AND(C425&gt;0,B425&gt;=C425),"Concluída",IF(OR(B425&gt;0,E396&gt;0),"Em andamento","Não iniciada"))</f>
        <v>Não iniciada</v>
      </c>
    </row>
    <row r="426" customFormat="false" ht="15" hidden="false" customHeight="false" outlineLevel="0" collapsed="false">
      <c r="A426" s="33" t="str">
        <f aca="false">A117</f>
        <v>10. Montagem dos Suportes Ultrassônicos</v>
      </c>
      <c r="B426" s="24" t="n">
        <f aca="false">F118</f>
        <v>0</v>
      </c>
      <c r="C426" s="24" t="n">
        <f aca="false">B118</f>
        <v>10</v>
      </c>
      <c r="D426" s="40" t="str">
        <f aca="false">B426&amp;"/"&amp;C426</f>
        <v>0/10</v>
      </c>
      <c r="E426" s="38" t="n">
        <f aca="false">IF(C426&gt;0,B426/C426,0)</f>
        <v>0</v>
      </c>
      <c r="F426" s="40" t="str">
        <f aca="false">IF(AND(C426&gt;0,B426&gt;=C426),"Concluída",IF(OR(B426&gt;0,E397&gt;0),"Em andamento","Não iniciada"))</f>
        <v>Não iniciada</v>
      </c>
    </row>
    <row r="427" customFormat="false" ht="15" hidden="false" customHeight="false" outlineLevel="0" collapsed="false">
      <c r="A427" s="33" t="str">
        <f aca="false">A132</f>
        <v>11. Montagem Fita LED</v>
      </c>
      <c r="B427" s="24" t="n">
        <f aca="false">F133</f>
        <v>0</v>
      </c>
      <c r="C427" s="24" t="n">
        <f aca="false">B133</f>
        <v>10</v>
      </c>
      <c r="D427" s="40" t="str">
        <f aca="false">B427&amp;"/"&amp;C427</f>
        <v>0/10</v>
      </c>
      <c r="E427" s="38" t="n">
        <f aca="false">IF(C427&gt;0,B427/C427,0)</f>
        <v>0</v>
      </c>
      <c r="F427" s="40" t="str">
        <f aca="false">IF(AND(C427&gt;0,B427&gt;=C427),"Concluída",IF(OR(B427&gt;0,E398&gt;0),"Em andamento","Não iniciada"))</f>
        <v>Não iniciada</v>
      </c>
    </row>
    <row r="428" customFormat="false" ht="15" hidden="false" customHeight="false" outlineLevel="0" collapsed="false">
      <c r="A428" s="33" t="str">
        <f aca="false">A147</f>
        <v>12. Montagem Cooler PCI de Controle</v>
      </c>
      <c r="B428" s="24" t="n">
        <f aca="false">F148</f>
        <v>0</v>
      </c>
      <c r="C428" s="24" t="n">
        <f aca="false">B148</f>
        <v>10</v>
      </c>
      <c r="D428" s="40" t="str">
        <f aca="false">B428&amp;"/"&amp;C428</f>
        <v>0/10</v>
      </c>
      <c r="E428" s="38" t="n">
        <f aca="false">IF(C428&gt;0,B428/C428,0)</f>
        <v>0</v>
      </c>
      <c r="F428" s="40" t="str">
        <f aca="false">IF(AND(C428&gt;0,B428&gt;=C428),"Concluída",IF(OR(B428&gt;0,E399&gt;0),"Em andamento","Não iniciada"))</f>
        <v>Não iniciada</v>
      </c>
    </row>
    <row r="429" customFormat="false" ht="15" hidden="false" customHeight="false" outlineLevel="0" collapsed="false">
      <c r="A429" s="33" t="str">
        <f aca="false">A162</f>
        <v>13. Instalação PCI de Controle</v>
      </c>
      <c r="B429" s="24" t="n">
        <f aca="false">F163</f>
        <v>0</v>
      </c>
      <c r="C429" s="24" t="n">
        <f aca="false">B163</f>
        <v>10</v>
      </c>
      <c r="D429" s="40" t="str">
        <f aca="false">B429&amp;"/"&amp;C429</f>
        <v>0/10</v>
      </c>
      <c r="E429" s="38" t="n">
        <f aca="false">IF(C429&gt;0,B429/C429,0)</f>
        <v>0</v>
      </c>
      <c r="F429" s="40" t="str">
        <f aca="false">IF(AND(C429&gt;0,B429&gt;=C429),"Concluída",IF(OR(B429&gt;0,E400&gt;0),"Em andamento","Não iniciada"))</f>
        <v>Não iniciada</v>
      </c>
    </row>
    <row r="430" customFormat="false" ht="15" hidden="false" customHeight="false" outlineLevel="0" collapsed="false">
      <c r="A430" s="33" t="str">
        <f aca="false">A177</f>
        <v>14. Instalação Cooler e Raspberry</v>
      </c>
      <c r="B430" s="24" t="n">
        <f aca="false">F178</f>
        <v>0</v>
      </c>
      <c r="C430" s="24" t="n">
        <f aca="false">B178</f>
        <v>10</v>
      </c>
      <c r="D430" s="40" t="str">
        <f aca="false">B430&amp;"/"&amp;C430</f>
        <v>0/10</v>
      </c>
      <c r="E430" s="38" t="n">
        <f aca="false">IF(C430&gt;0,B430/C430,0)</f>
        <v>0</v>
      </c>
      <c r="F430" s="40" t="str">
        <f aca="false">IF(AND(C430&gt;0,B430&gt;=C430),"Concluída",IF(OR(B430&gt;0,E401&gt;0),"Em andamento","Não iniciada"))</f>
        <v>Não iniciada</v>
      </c>
    </row>
    <row r="431" customFormat="false" ht="15" hidden="false" customHeight="false" outlineLevel="0" collapsed="false">
      <c r="A431" s="33" t="str">
        <f aca="false">A192</f>
        <v>15. Fixação dos Perfis de Alumínio</v>
      </c>
      <c r="B431" s="24" t="n">
        <f aca="false">F193</f>
        <v>0</v>
      </c>
      <c r="C431" s="24" t="n">
        <f aca="false">B193</f>
        <v>10</v>
      </c>
      <c r="D431" s="40" t="str">
        <f aca="false">B431&amp;"/"&amp;C431</f>
        <v>0/10</v>
      </c>
      <c r="E431" s="38" t="n">
        <f aca="false">IF(C431&gt;0,B431/C431,0)</f>
        <v>0</v>
      </c>
      <c r="F431" s="40" t="str">
        <f aca="false">IF(AND(C431&gt;0,B431&gt;=C431),"Concluída",IF(OR(B431&gt;0,E402&gt;0),"Em andamento","Não iniciada"))</f>
        <v>Não iniciada</v>
      </c>
    </row>
    <row r="432" customFormat="false" ht="15" hidden="false" customHeight="false" outlineLevel="0" collapsed="false">
      <c r="A432" s="33" t="str">
        <f aca="false">A207</f>
        <v>16. Montagem dos Chassis</v>
      </c>
      <c r="B432" s="24" t="n">
        <f aca="false">F208</f>
        <v>0</v>
      </c>
      <c r="C432" s="24" t="n">
        <f aca="false">B208</f>
        <v>10</v>
      </c>
      <c r="D432" s="40" t="str">
        <f aca="false">B432&amp;"/"&amp;C432</f>
        <v>0/10</v>
      </c>
      <c r="E432" s="38" t="n">
        <f aca="false">IF(C432&gt;0,B432/C432,0)</f>
        <v>0</v>
      </c>
      <c r="F432" s="40" t="str">
        <f aca="false">IF(AND(C432&gt;0,B432&gt;=C432),"Concluída",IF(OR(B432&gt;0,E403&gt;0),"Em andamento","Não iniciada"))</f>
        <v>Não iniciada</v>
      </c>
    </row>
    <row r="433" customFormat="false" ht="15" hidden="false" customHeight="false" outlineLevel="0" collapsed="false">
      <c r="A433" s="33" t="str">
        <f aca="false">A222</f>
        <v>17. Fixação da Carenagem Superior</v>
      </c>
      <c r="B433" s="24" t="n">
        <f aca="false">F223</f>
        <v>0</v>
      </c>
      <c r="C433" s="24" t="n">
        <f aca="false">B223</f>
        <v>10</v>
      </c>
      <c r="D433" s="40" t="str">
        <f aca="false">B433&amp;"/"&amp;C433</f>
        <v>0/10</v>
      </c>
      <c r="E433" s="38" t="n">
        <f aca="false">IF(C433&gt;0,B433/C433,0)</f>
        <v>0</v>
      </c>
      <c r="F433" s="40" t="str">
        <f aca="false">IF(AND(C433&gt;0,B433&gt;=C433),"Concluída",IF(OR(B433&gt;0,E404&gt;0),"Em andamento","Não iniciada"))</f>
        <v>Não iniciada</v>
      </c>
    </row>
    <row r="434" customFormat="false" ht="15" hidden="false" customHeight="false" outlineLevel="0" collapsed="false">
      <c r="A434" s="33" t="str">
        <f aca="false">A237</f>
        <v>18. Ligações Elétricas</v>
      </c>
      <c r="B434" s="24" t="n">
        <f aca="false">F238</f>
        <v>0</v>
      </c>
      <c r="C434" s="24" t="n">
        <f aca="false">B238</f>
        <v>10</v>
      </c>
      <c r="D434" s="40" t="str">
        <f aca="false">B434&amp;"/"&amp;C434</f>
        <v>0/10</v>
      </c>
      <c r="E434" s="38" t="n">
        <f aca="false">IF(C434&gt;0,B434/C434,0)</f>
        <v>0</v>
      </c>
      <c r="F434" s="40" t="str">
        <f aca="false">IF(AND(C434&gt;0,B434&gt;=C434),"Concluída",IF(OR(B434&gt;0,E405&gt;0),"Em andamento","Não iniciada"))</f>
        <v>Não iniciada</v>
      </c>
    </row>
    <row r="435" customFormat="false" ht="15" hidden="false" customHeight="false" outlineLevel="0" collapsed="false">
      <c r="A435" s="33" t="str">
        <f aca="false">A252</f>
        <v>19. Montagem dos Itens Elétricos na Carenagem...</v>
      </c>
      <c r="B435" s="24" t="n">
        <f aca="false">F253</f>
        <v>0</v>
      </c>
      <c r="C435" s="24" t="n">
        <f aca="false">B253</f>
        <v>10</v>
      </c>
      <c r="D435" s="40" t="str">
        <f aca="false">B435&amp;"/"&amp;C435</f>
        <v>0/10</v>
      </c>
      <c r="E435" s="38" t="n">
        <f aca="false">IF(C435&gt;0,B435/C435,0)</f>
        <v>0</v>
      </c>
      <c r="F435" s="40" t="str">
        <f aca="false">IF(AND(C435&gt;0,B435&gt;=C435),"Concluída",IF(OR(B435&gt;0,E406&gt;0),"Em andamento","Não iniciada"))</f>
        <v>Não iniciada</v>
      </c>
    </row>
    <row r="436" customFormat="false" ht="15" hidden="false" customHeight="false" outlineLevel="0" collapsed="false">
      <c r="A436" s="33" t="str">
        <f aca="false">A267</f>
        <v>20. Montagem dos Sensores na Carenagem Infer...</v>
      </c>
      <c r="B436" s="24" t="n">
        <f aca="false">F268</f>
        <v>0</v>
      </c>
      <c r="C436" s="24" t="n">
        <f aca="false">B268</f>
        <v>10</v>
      </c>
      <c r="D436" s="40" t="str">
        <f aca="false">B436&amp;"/"&amp;C436</f>
        <v>0/10</v>
      </c>
      <c r="E436" s="38" t="n">
        <f aca="false">IF(C436&gt;0,B436/C436,0)</f>
        <v>0</v>
      </c>
      <c r="F436" s="40" t="str">
        <f aca="false">IF(AND(C436&gt;0,B436&gt;=C436),"Concluída",IF(OR(B436&gt;0,E407&gt;0),"Em andamento","Não iniciada"))</f>
        <v>Não iniciada</v>
      </c>
    </row>
    <row r="437" customFormat="false" ht="15" hidden="false" customHeight="false" outlineLevel="0" collapsed="false">
      <c r="A437" s="33" t="str">
        <f aca="false">A282</f>
        <v>21. Montagem da Carenagem Inferior</v>
      </c>
      <c r="B437" s="24" t="n">
        <f aca="false">F283</f>
        <v>0</v>
      </c>
      <c r="C437" s="24" t="n">
        <f aca="false">B283</f>
        <v>10</v>
      </c>
      <c r="D437" s="40" t="str">
        <f aca="false">B437&amp;"/"&amp;C437</f>
        <v>0/10</v>
      </c>
      <c r="E437" s="38" t="n">
        <f aca="false">IF(C437&gt;0,B437/C437,0)</f>
        <v>0</v>
      </c>
      <c r="F437" s="40" t="str">
        <f aca="false">IF(AND(C437&gt;0,B437&gt;=C437),"Concluída",IF(OR(B437&gt;0,E408&gt;0),"Em andamento","Não iniciada"))</f>
        <v>Não iniciada</v>
      </c>
    </row>
    <row r="438" customFormat="false" ht="15" hidden="false" customHeight="false" outlineLevel="0" collapsed="false">
      <c r="A438" s="33" t="str">
        <f aca="false">A297</f>
        <v>22. Alinhamento do Robô</v>
      </c>
      <c r="B438" s="24" t="n">
        <f aca="false">F298</f>
        <v>0</v>
      </c>
      <c r="C438" s="24" t="n">
        <f aca="false">B298</f>
        <v>10</v>
      </c>
      <c r="D438" s="40" t="str">
        <f aca="false">B438&amp;"/"&amp;C438</f>
        <v>0/10</v>
      </c>
      <c r="E438" s="38" t="n">
        <f aca="false">IF(C438&gt;0,B438/C438,0)</f>
        <v>0</v>
      </c>
      <c r="F438" s="40" t="str">
        <f aca="false">IF(AND(C438&gt;0,B438&gt;=C438),"Concluída",IF(OR(B438&gt;0,E409&gt;0),"Em andamento","Não iniciada"))</f>
        <v>Não iniciada</v>
      </c>
    </row>
    <row r="439" customFormat="false" ht="15" hidden="false" customHeight="false" outlineLevel="0" collapsed="false">
      <c r="A439" s="33" t="str">
        <f aca="false">A312</f>
        <v>23. Fixação das Rodas OFF-Road</v>
      </c>
      <c r="B439" s="24" t="n">
        <f aca="false">F313</f>
        <v>0</v>
      </c>
      <c r="C439" s="24" t="n">
        <f aca="false">B313</f>
        <v>10</v>
      </c>
      <c r="D439" s="40" t="str">
        <f aca="false">B439&amp;"/"&amp;C439</f>
        <v>0/10</v>
      </c>
      <c r="E439" s="38" t="n">
        <f aca="false">IF(C439&gt;0,B439/C439,0)</f>
        <v>0</v>
      </c>
      <c r="F439" s="40" t="str">
        <f aca="false">IF(AND(C439&gt;0,B439&gt;=C439),"Concluída",IF(OR(B439&gt;0,E410&gt;0),"Em andamento","Não iniciada"))</f>
        <v>Não iniciada</v>
      </c>
    </row>
    <row r="440" customFormat="false" ht="15" hidden="false" customHeight="false" outlineLevel="0" collapsed="false">
      <c r="A440" s="33" t="str">
        <f aca="false">A327</f>
        <v>24. Fixação do Conector de Alimentação Externa</v>
      </c>
      <c r="B440" s="24" t="n">
        <f aca="false">F328</f>
        <v>0</v>
      </c>
      <c r="C440" s="24" t="n">
        <f aca="false">B328</f>
        <v>10</v>
      </c>
      <c r="D440" s="40" t="str">
        <f aca="false">B440&amp;"/"&amp;C440</f>
        <v>0/10</v>
      </c>
      <c r="E440" s="38" t="n">
        <f aca="false">IF(C440&gt;0,B440/C440,0)</f>
        <v>0</v>
      </c>
      <c r="F440" s="40" t="str">
        <f aca="false">IF(AND(C440&gt;0,B440&gt;=C440),"Concluída",IF(OR(B440&gt;0,E411&gt;0),"Em andamento","Não iniciada"))</f>
        <v>Não iniciada</v>
      </c>
    </row>
    <row r="441" customFormat="false" ht="15" hidden="false" customHeight="false" outlineLevel="0" collapsed="false">
      <c r="A441" s="33" t="str">
        <f aca="false">A342</f>
        <v>25. Fixação da Tampa Superior</v>
      </c>
      <c r="B441" s="24" t="n">
        <f aca="false">F343</f>
        <v>0</v>
      </c>
      <c r="C441" s="24" t="n">
        <f aca="false">B343</f>
        <v>10</v>
      </c>
      <c r="D441" s="40" t="str">
        <f aca="false">B441&amp;"/"&amp;C441</f>
        <v>0/10</v>
      </c>
      <c r="E441" s="38" t="n">
        <f aca="false">IF(C441&gt;0,B441/C441,0)</f>
        <v>0</v>
      </c>
      <c r="F441" s="40" t="str">
        <f aca="false">IF(AND(C441&gt;0,B441&gt;=C441),"Concluída",IF(OR(B441&gt;0,E412&gt;0),"Em andamento","Não iniciada"))</f>
        <v>Não iniciada</v>
      </c>
    </row>
    <row r="442" customFormat="false" ht="15" hidden="false" customHeight="false" outlineLevel="0" collapsed="false">
      <c r="A442" s="33" t="str">
        <f aca="false">A357</f>
        <v>26. Acessórios Single</v>
      </c>
      <c r="B442" s="24" t="n">
        <f aca="false">F358</f>
        <v>0</v>
      </c>
      <c r="C442" s="24" t="n">
        <f aca="false">B358</f>
        <v>10</v>
      </c>
      <c r="D442" s="40" t="str">
        <f aca="false">B442&amp;"/"&amp;C442</f>
        <v>0/10</v>
      </c>
      <c r="E442" s="38" t="n">
        <f aca="false">IF(C442&gt;0,B442/C442,0)</f>
        <v>0</v>
      </c>
      <c r="F442" s="40" t="str">
        <f aca="false">IF(AND(C442&gt;0,B442&gt;=C442),"Concluída",IF(OR(B442&gt;0,E413&gt;0),"Em andamento","Não iniciada"))</f>
        <v>Não iniciada</v>
      </c>
    </row>
    <row r="443" customFormat="false" ht="15" hidden="false" customHeight="false" outlineLevel="0" collapsed="false">
      <c r="A443" s="18" t="s">
        <v>65</v>
      </c>
      <c r="B443" s="27" t="n">
        <f aca="false">SUM(B419:B442)</f>
        <v>15</v>
      </c>
      <c r="C443" s="27" t="n">
        <f aca="false">SUM(C419:C442)</f>
        <v>240</v>
      </c>
      <c r="D443" s="27" t="str">
        <f aca="false">B443&amp;"/"&amp;C443</f>
        <v>15/240</v>
      </c>
      <c r="E443" s="28" t="n">
        <f aca="false">IF(C443&gt;0,B443/C443,0)</f>
        <v>0.0625</v>
      </c>
      <c r="F443" s="27"/>
    </row>
  </sheetData>
  <conditionalFormatting sqref="E390:E413">
    <cfRule type="dataBar" priority="2">
      <dataBar showValue="1" minLength="10" maxLength="90">
        <cfvo type="num" val="0"/>
        <cfvo type="num" val="1"/>
        <color rgb="FF5B9BD5"/>
      </dataBar>
      <extLst>
        <ext xmlns:x14="http://schemas.microsoft.com/office/spreadsheetml/2009/9/main" uri="{B025F937-C7B1-47D3-B67F-A62EFF666E3E}">
          <x14:id>{8210F13C-1B68-41D6-BF1B-8971A4FA806B}</x14:id>
        </ext>
      </extLst>
    </cfRule>
  </conditionalFormatting>
  <conditionalFormatting sqref="E419:E442">
    <cfRule type="dataBar" priority="3">
      <dataBar showValue="1" minLength="10" maxLength="90">
        <cfvo type="num" val="0"/>
        <cfvo type="num" val="1"/>
        <color rgb="FF5B9BD5"/>
      </dataBar>
      <extLst>
        <ext xmlns:x14="http://schemas.microsoft.com/office/spreadsheetml/2009/9/main" uri="{B025F937-C7B1-47D3-B67F-A62EFF666E3E}">
          <x14:id>{548A85E8-C3F2-419C-9187-F0573332B8B7}</x14:id>
        </ext>
      </extLst>
    </cfRule>
  </conditionalFormatting>
  <conditionalFormatting sqref="F419:F442">
    <cfRule type="cellIs" priority="4" operator="equal" aboveAverage="0" equalAverage="0" bottom="0" percent="0" rank="0" text="" dxfId="7">
      <formula>"Concluída"</formula>
    </cfRule>
    <cfRule type="cellIs" priority="5" operator="equal" aboveAverage="0" equalAverage="0" bottom="0" percent="0" rank="0" text="" dxfId="8">
      <formula>"Em andamento"</formula>
    </cfRule>
  </conditionalFormatting>
  <dataValidations count="3">
    <dataValidation allowBlank="false" error="Informe um número maior ou igual a 0." errorStyle="stop" errorTitle="Valor inválido" operator="greaterThanOrEqual" showDropDown="false" showErrorMessage="true" showInputMessage="false" sqref="B15:B22 B30:B37 B45:B52 B60:B67 B75:B82 B90:B97 B105:B112 B120:B127 B135:B142 B150:B157 B165:B172 B180:B187 B195:B202 B210:B217 B225:B232 B240:B247 B255:B262 B270:B277 B285:B292 B300:B307 B315:B322 B330:B337 B345:B352 B360:B367" type="decimal">
      <formula1>0</formula1>
      <formula2>0</formula2>
    </dataValidation>
    <dataValidation allowBlank="false" error="Informe um número inteiro entre 0 e a meta de robôs (previstas)." errorStyle="stop" errorTitle="Valor inválido" operator="between" showDropDown="false" showErrorMessage="true" showInputMessage="false" sqref="D15:D22 D30:D37 D45:D52 D60:D67 D75:D82 D90:D97 D105:D112 D120:D127 D135:D142 D150:D157 D165:D172 D180:D187 D195:D202 D210:D217 D225:D232 D240:D247 D255:D262 D270:D277 D285:D292 D300:D307 D315:D322 D330:D337 D345:D352 D360:D367" type="whole">
      <formula1>0</formula1>
      <formula2>$B$4</formula2>
    </dataValidation>
    <dataValidation allowBlank="false" error="Informe um número inteiro maior ou igual a 0." errorStyle="stop" errorTitle="Valor inválido" operator="greaterThanOrEqual" showDropDown="false" showErrorMessage="true" showInputMessage="false" sqref="B4" type="whole">
      <formula1>0</formula1>
      <formula2>0</formula2>
    </dataValidation>
  </dataValidations>
  <hyperlinks>
    <hyperlink ref="A10" r:id="rId1" location="Acompanhamento!A373" display="Ir para o resumo final ↓"/>
  </hyperlink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2"/>
  <tableParts>
    <tablePart r:id="rId3"/>
    <tablePart r:id="rId4"/>
    <tablePart r:id="rId5"/>
    <tablePart r:id="rId6"/>
    <tablePart r:id="rId7"/>
    <tablePart r:id="rId8"/>
    <tablePart r:id="rId9"/>
    <tablePart r:id="rId10"/>
    <tablePart r:id="rId11"/>
    <tablePart r:id="rId12"/>
    <tablePart r:id="rId13"/>
    <tablePart r:id="rId14"/>
    <tablePart r:id="rId15"/>
    <tablePart r:id="rId16"/>
    <tablePart r:id="rId17"/>
    <tablePart r:id="rId18"/>
    <tablePart r:id="rId19"/>
    <tablePart r:id="rId20"/>
    <tablePart r:id="rId21"/>
    <tablePart r:id="rId22"/>
    <tablePart r:id="rId23"/>
    <tablePart r:id="rId24"/>
    <tablePart r:id="rId25"/>
    <tablePart r:id="rId26"/>
    <tablePart r:id="rId27"/>
    <tablePart r:id="rId28"/>
  </tableParts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8210F13C-1B68-41D6-BF1B-8971A4FA806B}">
            <x14:dataBar minLength="10" maxLength="90" axisPosition="none" gradient="true">
              <x14:cfvo type="num">
                <xm:f>0</xm:f>
              </x14:cfvo>
              <x14:cfvo type="num">
                <xm:f>1</xm:f>
              </x14:cfvo>
              <x14:negativeFillColor rgb="FF5B9BD5"/>
              <x14:axisColor rgb="FF000000"/>
            </x14:dataBar>
          </x14:cfRule>
          <xm:sqref>E390:E413</xm:sqref>
        </x14:conditionalFormatting>
        <x14:conditionalFormatting xmlns:xm="http://schemas.microsoft.com/office/excel/2006/main">
          <x14:cfRule type="dataBar" id="{548A85E8-C3F2-419C-9187-F0573332B8B7}">
            <x14:dataBar minLength="10" maxLength="90" axisPosition="none" gradient="true">
              <x14:cfvo type="num">
                <xm:f>0</xm:f>
              </x14:cfvo>
              <x14:cfvo type="num">
                <xm:f>1</xm:f>
              </x14:cfvo>
              <x14:negativeFillColor rgb="FF5B9BD5"/>
              <x14:axisColor rgb="FF000000"/>
            </x14:dataBar>
          </x14:cfRule>
          <xm:sqref>E419:E442</xm:sqref>
        </x14:conditionalFormatting>
      </x14:conditionalFormatting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1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4"/>
    <col collapsed="false" customWidth="true" hidden="false" outlineLevel="0" max="2" min="2" style="0" width="18"/>
    <col collapsed="false" customWidth="true" hidden="false" outlineLevel="0" max="3" min="3" style="0" width="22"/>
  </cols>
  <sheetData>
    <row r="1" customFormat="false" ht="19.7" hidden="false" customHeight="false" outlineLevel="0" collapsed="false">
      <c r="A1" s="1" t="s">
        <v>83</v>
      </c>
    </row>
    <row r="2" customFormat="false" ht="15" hidden="false" customHeight="false" outlineLevel="0" collapsed="false">
      <c r="A2" s="2" t="s">
        <v>84</v>
      </c>
    </row>
    <row r="4" customFormat="false" ht="15" hidden="false" customHeight="false" outlineLevel="0" collapsed="false">
      <c r="A4" s="41" t="s">
        <v>7</v>
      </c>
      <c r="B4" s="42" t="n">
        <f aca="false">Acompanhamento!G414</f>
        <v>27.5</v>
      </c>
    </row>
    <row r="5" customFormat="false" ht="15" hidden="false" customHeight="false" outlineLevel="0" collapsed="false">
      <c r="A5" s="41" t="s">
        <v>85</v>
      </c>
      <c r="B5" s="42" t="n">
        <f aca="false">Acompanhamento!F414</f>
        <v>31.6666666666667</v>
      </c>
    </row>
    <row r="6" customFormat="false" ht="15" hidden="false" customHeight="false" outlineLevel="0" collapsed="false">
      <c r="A6" s="41" t="s">
        <v>86</v>
      </c>
      <c r="B6" s="43" t="n">
        <v>1</v>
      </c>
    </row>
    <row r="7" customFormat="false" ht="15" hidden="false" customHeight="false" outlineLevel="0" collapsed="false">
      <c r="A7" s="41" t="s">
        <v>87</v>
      </c>
      <c r="B7" s="44" t="n">
        <v>8</v>
      </c>
    </row>
    <row r="8" customFormat="false" ht="15" hidden="false" customHeight="false" outlineLevel="0" collapsed="false">
      <c r="A8" s="41" t="s">
        <v>88</v>
      </c>
      <c r="B8" s="42" t="n">
        <f aca="false">IF(B6*B7&gt;0,B4/(B6*B7),"")</f>
        <v>3.4375</v>
      </c>
    </row>
    <row r="9" customFormat="false" ht="15" hidden="false" customHeight="false" outlineLevel="0" collapsed="false">
      <c r="A9" s="41" t="s">
        <v>89</v>
      </c>
      <c r="B9" s="42" t="n">
        <f aca="false">IF(B6*B7&gt;0,B5/(B6*B7),"")</f>
        <v>3.95833333333333</v>
      </c>
    </row>
    <row r="11" customFormat="false" ht="15" hidden="false" customHeight="false" outlineLevel="0" collapsed="false">
      <c r="A11" s="31" t="s">
        <v>90</v>
      </c>
    </row>
    <row r="12" customFormat="false" ht="15" hidden="false" customHeight="false" outlineLevel="0" collapsed="false">
      <c r="A12" s="32" t="s">
        <v>91</v>
      </c>
      <c r="B12" s="32" t="s">
        <v>92</v>
      </c>
      <c r="C12" s="32" t="s">
        <v>88</v>
      </c>
    </row>
    <row r="13" customFormat="false" ht="15" hidden="false" customHeight="false" outlineLevel="0" collapsed="false">
      <c r="A13" s="40" t="n">
        <v>1</v>
      </c>
      <c r="B13" s="37" t="n">
        <f aca="false">A13*$B$7</f>
        <v>8</v>
      </c>
      <c r="C13" s="37" t="n">
        <f aca="false">IF(B13&gt;0,$B$4/B13,"")</f>
        <v>3.4375</v>
      </c>
    </row>
    <row r="14" customFormat="false" ht="15" hidden="false" customHeight="false" outlineLevel="0" collapsed="false">
      <c r="A14" s="40" t="n">
        <v>2</v>
      </c>
      <c r="B14" s="37" t="n">
        <f aca="false">A14*$B$7</f>
        <v>16</v>
      </c>
      <c r="C14" s="37" t="n">
        <f aca="false">IF(B14&gt;0,$B$4/B14,"")</f>
        <v>1.71875</v>
      </c>
    </row>
    <row r="15" customFormat="false" ht="15" hidden="false" customHeight="false" outlineLevel="0" collapsed="false">
      <c r="A15" s="40" t="n">
        <v>3</v>
      </c>
      <c r="B15" s="37" t="n">
        <f aca="false">A15*$B$7</f>
        <v>24</v>
      </c>
      <c r="C15" s="37" t="n">
        <f aca="false">IF(B15&gt;0,$B$4/B15,"")</f>
        <v>1.14583333333333</v>
      </c>
    </row>
    <row r="16" customFormat="false" ht="15" hidden="false" customHeight="false" outlineLevel="0" collapsed="false">
      <c r="A16" s="40" t="n">
        <v>4</v>
      </c>
      <c r="B16" s="37" t="n">
        <f aca="false">A16*$B$7</f>
        <v>32</v>
      </c>
      <c r="C16" s="37" t="n">
        <f aca="false">IF(B16&gt;0,$B$4/B16,"")</f>
        <v>0.859375</v>
      </c>
    </row>
    <row r="17" customFormat="false" ht="15" hidden="false" customHeight="false" outlineLevel="0" collapsed="false">
      <c r="A17" s="40" t="n">
        <v>5</v>
      </c>
      <c r="B17" s="37" t="n">
        <f aca="false">A17*$B$7</f>
        <v>40</v>
      </c>
      <c r="C17" s="37" t="n">
        <f aca="false">IF(B17&gt;0,$B$4/B17,"")</f>
        <v>0.6875</v>
      </c>
    </row>
    <row r="18" customFormat="false" ht="15" hidden="false" customHeight="false" outlineLevel="0" collapsed="false">
      <c r="A18" s="40" t="n">
        <v>6</v>
      </c>
      <c r="B18" s="37" t="n">
        <f aca="false">A18*$B$7</f>
        <v>48</v>
      </c>
      <c r="C18" s="37" t="n">
        <f aca="false">IF(B18&gt;0,$B$4/B18,"")</f>
        <v>0.572916666666667</v>
      </c>
    </row>
  </sheetData>
  <dataValidations count="1">
    <dataValidation allowBlank="false" error="Informe um número maior que 0." errorStyle="stop" errorTitle="Valor inválido" operator="greaterThan" showDropDown="false" showErrorMessage="true" showInputMessage="false" sqref="B6:B7" type="decimal">
      <formula1>0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1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4"/>
    <col collapsed="false" customWidth="true" hidden="false" outlineLevel="0" max="2" min="2" style="0" width="62"/>
    <col collapsed="false" customWidth="true" hidden="false" outlineLevel="0" max="3" min="3" style="0" width="78"/>
  </cols>
  <sheetData>
    <row r="1" customFormat="false" ht="19.7" hidden="false" customHeight="false" outlineLevel="0" collapsed="false">
      <c r="A1" s="1" t="s">
        <v>93</v>
      </c>
    </row>
    <row r="2" customFormat="false" ht="15" hidden="false" customHeight="false" outlineLevel="0" collapsed="false">
      <c r="A2" s="2" t="s">
        <v>94</v>
      </c>
    </row>
    <row r="4" customFormat="false" ht="15" hidden="false" customHeight="false" outlineLevel="0" collapsed="false">
      <c r="A4" s="45" t="s">
        <v>95</v>
      </c>
      <c r="B4" s="45" t="s">
        <v>96</v>
      </c>
      <c r="C4" s="45" t="s">
        <v>97</v>
      </c>
    </row>
    <row r="5" customFormat="false" ht="42" hidden="false" customHeight="true" outlineLevel="0" collapsed="false">
      <c r="A5" s="46" t="s">
        <v>98</v>
      </c>
      <c r="B5" s="47" t="s">
        <v>99</v>
      </c>
      <c r="C5" s="47" t="str">
        <f aca="false">IFERROR(Acompanhamento!A18&amp;": "&amp;Acompanhamento!B18&amp;" min ÷ "&amp;Acompanhamento!B23&amp;" min = "&amp;ROUND(Acompanhamento!C18*100,0)&amp;"%","(preencha a primeira etapa)")</f>
        <v>Instalar placa: 100 min ÷ 130 min = 77%</v>
      </c>
    </row>
    <row r="6" customFormat="false" ht="42" hidden="false" customHeight="true" outlineLevel="0" collapsed="false">
      <c r="A6" s="46" t="s">
        <v>100</v>
      </c>
      <c r="B6" s="47" t="s">
        <v>101</v>
      </c>
      <c r="C6" s="47" t="str">
        <f aca="false">IFERROR(Acompanhamento!A12&amp;": "&amp;Acompanhamento!B23&amp;" min ÷ "&amp;Acompanhamento!B414&amp;" min = "&amp;ROUND(Acompanhamento!C390*100,0)&amp;"%","(preencha a primeira etapa)")</f>
        <v>3. Montagem do Suporte de Manutenção: 130 min ÷ 190 min = 68%</v>
      </c>
    </row>
    <row r="7" customFormat="false" ht="42" hidden="false" customHeight="true" outlineLevel="0" collapsed="false">
      <c r="A7" s="46" t="s">
        <v>102</v>
      </c>
      <c r="B7" s="47" t="s">
        <v>103</v>
      </c>
      <c r="C7" s="47" t="str">
        <f aca="false">IFERROR(Acompanhamento!A15&amp;": "&amp;N(Acompanhamento!D15)&amp;" ÷ "&amp;Acompanhamento!B13&amp;" = "&amp;ROUND(Acompanhamento!E15*100,0)&amp;"%","(preencha a primeira etapa)")</f>
        <v>Alinhamento: 5 ÷ 10 = 50%</v>
      </c>
    </row>
    <row r="8" customFormat="false" ht="42" hidden="false" customHeight="true" outlineLevel="0" collapsed="false">
      <c r="A8" s="46" t="s">
        <v>104</v>
      </c>
      <c r="B8" s="47" t="s">
        <v>105</v>
      </c>
      <c r="C8" s="47" t="str">
        <f aca="false">IFERROR(Acompanhamento!A12&amp;": "&amp;ROUND(Acompanhamento!E23*100,1)&amp;"%","(preencha a primeira etapa)")</f>
        <v>3. Montagem do Suporte de Manutenção: 19.2%</v>
      </c>
    </row>
    <row r="9" customFormat="false" ht="42" hidden="false" customHeight="true" outlineLevel="0" collapsed="false">
      <c r="A9" s="46" t="s">
        <v>106</v>
      </c>
      <c r="B9" s="47" t="s">
        <v>107</v>
      </c>
      <c r="C9" s="47" t="str">
        <f aca="false">IFERROR(Acompanhamento!A12&amp;": menor nº de peças = "&amp;Acompanhamento!F13&amp;" → "&amp;Acompanhamento!F13&amp;" ÷ "&amp;Acompanhamento!B13&amp;" = "&amp;ROUND(Acompanhamento!E24*100,0)&amp;"%, mesmo com as tarefas em "&amp;ROUND(Acompanhamento!E23*100,0)&amp;"%","(preencha a primeira etapa)")</f>
        <v>3. Montagem do Suporte de Manutenção: menor nº de peças = 1 → 1 ÷ 10 = 10%, mesmo com as tarefas em 19%</v>
      </c>
    </row>
    <row r="10" customFormat="false" ht="42" hidden="false" customHeight="true" outlineLevel="0" collapsed="false">
      <c r="A10" s="46" t="s">
        <v>108</v>
      </c>
      <c r="B10" s="47" t="s">
        <v>109</v>
      </c>
      <c r="C10" s="47" t="str">
        <f aca="false">IFERROR(Acompanhamento!A18&amp;": "&amp;Acompanhamento!B18&amp;" min × "&amp;Acompanhamento!B13&amp;" = "&amp;Acompanhamento!F18&amp;" min","(preencha a primeira etapa)")</f>
        <v>Instalar placa: 100 min × 10 = 1000 min</v>
      </c>
    </row>
    <row r="11" customFormat="false" ht="42" hidden="false" customHeight="true" outlineLevel="0" collapsed="false">
      <c r="A11" s="46" t="s">
        <v>110</v>
      </c>
      <c r="B11" s="47" t="s">
        <v>111</v>
      </c>
      <c r="C11" s="47" t="str">
        <f aca="false">IFERROR(Acompanhamento!A18&amp;": "&amp;Acompanhamento!B18&amp;" min × ("&amp;Acompanhamento!B13&amp;" − "&amp;N(Acompanhamento!D18)&amp;") = "&amp;Acompanhamento!G18&amp;" min","(preencha a primeira etapa)")</f>
        <v>Instalar placa: 100 min × (10 − 1) = 900 min</v>
      </c>
    </row>
    <row r="12" customFormat="false" ht="42" hidden="false" customHeight="true" outlineLevel="0" collapsed="false">
      <c r="A12" s="46" t="s">
        <v>4</v>
      </c>
      <c r="B12" s="47" t="s">
        <v>112</v>
      </c>
      <c r="C12" s="47" t="str">
        <f aca="false">IFERROR("Menor valor da coluna Feitas da Tabela 2 = "&amp;Acompanhamento!B377&amp;" de "&amp;Acompanhamento!C377,"(preencha a primeira etapa)")</f>
        <v>Menor valor da coluna Feitas da Tabela 2 = 0 de 10</v>
      </c>
    </row>
    <row r="13" customFormat="false" ht="42" hidden="false" customHeight="true" outlineLevel="0" collapsed="false">
      <c r="A13" s="46" t="s">
        <v>8</v>
      </c>
      <c r="B13" s="47" t="s">
        <v>113</v>
      </c>
      <c r="C13" s="47" t="str">
        <f aca="false">IFERROR(ROUND(Equipe!B4,1)&amp;" h ÷ ("&amp;Equipe!B6&amp;" pessoas × "&amp;Equipe!B7&amp;" h) = "&amp;ROUND(Equipe!B8,1)&amp;" dias úteis","(preencha a primeira etapa)")</f>
        <v>27.5 h ÷ (1 pessoas × 8 h) = 3.4 dias úteis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2026-10-06T12:58:49Z</dcterms:created>
  <dc:creator>openpyxl</dc:creator>
  <dc:description/>
  <dc:language>en-US</dc:language>
  <cp:lastModifiedBy/>
  <dcterms:modified xsi:type="dcterms:W3CDTF">2026-10-06T09:58:53Z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